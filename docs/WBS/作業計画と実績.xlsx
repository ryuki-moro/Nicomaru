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34cd8b795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e3b2c55ce2b14c81"/>
    <x:sheet xmlns:r="http://schemas.openxmlformats.org/officeDocument/2006/relationships" name="記録根拠" sheetId="2" r:id="R0b6a93673813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4">
    <x:font>
      <x:sz val="11"/>
      <x:name val="Carlito"/>
    </x:font>
    <x:font>
      <x:sz val="10"/>
      <x:color rgb="FF24344B"/>
      <x:name val="Arial"/>
    </x:font>
    <x:font>
      <x:b/>
      <x:sz val="15"/>
      <x:color rgb="FF18315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C"/>
      </x:patternFill>
    </x:fill>
    <x:fill>
      <x:patternFill patternType="solid">
        <x:fgColor rgb="FFF0F4F8"/>
      </x:patternFill>
    </x:fill>
    <x:fill>
      <x:patternFill patternType="solid">
        <x:fgColor rgb="FFFFF4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5c949646b44ce" /><Relationship Type="http://schemas.openxmlformats.org/officeDocument/2006/relationships/theme" Target="/xl/theme/theme1.xml" Id="R7a944b1a92374898" /><Relationship Type="http://schemas.openxmlformats.org/officeDocument/2006/relationships/sharedStrings" Target="/xl/sharedStrings.xml" Id="Re92dc1b12e9b4345" /><Relationship Type="http://schemas.openxmlformats.org/officeDocument/2006/relationships/worksheet" Target="/xl/worksheets/sheet1.xml" Id="Re3b2c55ce2b14c81" /><Relationship Type="http://schemas.openxmlformats.org/officeDocument/2006/relationships/worksheet" Target="/xl/worksheets/sheet2.xml" Id="R0b6a936738134fc9" /></Relationships>
</file>

<file path=xl/tables/table1.xml><?xml version="1.0" encoding="utf-8"?>
<x:table xmlns:x="http://schemas.openxmlformats.org/spreadsheetml/2006/main" id="1" name="Tasks5" displayName="Tasks5" ref="A5:R36" headerRowCount="1" totalsRowCount="0" totalsRowShown="0">
  <x:tableColumns count="18">
    <x:tableColumn id="1" name="作業ID"/>
    <x:tableColumn id="2" name="対象月"/>
    <x:tableColumn id="3" name="分類"/>
    <x:tableColumn id="4" name="作業内容"/>
    <x:tableColumn id="5" name="予定開始"/>
    <x:tableColumn id="6" name="最遅期限"/>
    <x:tableColumn id="7" name="実担当"/>
    <x:tableColumn id="8" name="実績開始"/>
    <x:tableColumn id="9" name="実績終了"/>
    <x:tableColumn id="10" name="本人確認時間(h)"/>
    <x:tableColumn id="11" name="状態/作業区分"/>
    <x:tableColumn id="12" name="成果物"/>
    <x:tableColumn id="13" name="Issue"/>
    <x:tableColumn id="14" name="PR/commit/試験証拠"/>
    <x:tableColumn id="15" name="確認者"/>
    <x:tableColumn id="16" name="差異・保留・再試験理由"/>
    <x:tableColumn id="17" name="期限差(日)"/>
    <x:tableColumn id="18" name="実績確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6" displayName="Tasks6" ref="A5:D12" headerRowCount="1" totalsRowCount="0" totalsRowShown="0">
  <x:tableColumns count="4">
    <x:tableColumn id="1" name="種類"/>
    <x:tableColumn id="2" name="基準/識別子"/>
    <x:tableColumn id="3" name="意味・確認範囲"/>
    <x:tableColumn id="4" name="参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31e178b3a24d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43c18c1858400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5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25" hidden="0" customWidth="1"/>
    <x:col min="12" max="12" width="40" hidden="0" customWidth="1"/>
    <x:col min="13" max="13" width="42" hidden="0" customWidth="1"/>
    <x:col min="14" max="14" width="48" hidden="0" customWidth="1"/>
    <x:col min="15" max="15" width="17" hidden="0" customWidth="1"/>
    <x:col min="16" max="16" width="45" hidden="0" customWidth="1"/>
    <x:col min="17" max="17" width="17" hidden="0" customWidth="1"/>
    <x:col min="18" max="18" width="2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30" customHeight="1">
      <x:c r="A2" s="2" t="str">
        <x:v>にこまる 作業計画・実績WBS（2026年10月〜2027年2月）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4" customHeight="1">
      <x:c r="A3" s="1" t="str">
        <x:v>月末は最遅目安。学校の実際の期限が早い場合は優先。コミット日時から作業時間/着手日は推定しない。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30" customHeight="1">
      <x:c r="A5" s="6" t="str">
        <x:v>作業ID</x:v>
      </x:c>
      <x:c r="B5" s="6" t="str">
        <x:v>対象月</x:v>
      </x:c>
      <x:c r="C5" s="6" t="str">
        <x:v>分類</x:v>
      </x:c>
      <x:c r="D5" s="6" t="str">
        <x:v>作業内容</x:v>
      </x:c>
      <x:c r="E5" s="6" t="str">
        <x:v>予定開始</x:v>
      </x:c>
      <x:c r="F5" s="6" t="str">
        <x:v>最遅期限</x:v>
      </x:c>
      <x:c r="G5" s="6" t="str">
        <x:v>実担当</x:v>
      </x:c>
      <x:c r="H5" s="6" t="str">
        <x:v>実績開始</x:v>
      </x:c>
      <x:c r="I5" s="6" t="str">
        <x:v>実績終了</x:v>
      </x:c>
      <x:c r="J5" s="6" t="str">
        <x:v>本人確認時間(h)</x:v>
      </x:c>
      <x:c r="K5" s="6" t="str">
        <x:v>状態/作業区分</x:v>
      </x:c>
      <x:c r="L5" s="6" t="str">
        <x:v>成果物</x:v>
      </x:c>
      <x:c r="M5" s="6" t="str">
        <x:v>Issue</x:v>
      </x:c>
      <x:c r="N5" s="6" t="str">
        <x:v>PR/commit/試験証拠</x:v>
      </x:c>
      <x:c r="O5" s="6" t="str">
        <x:v>確認者</x:v>
      </x:c>
      <x:c r="P5" s="6" t="str">
        <x:v>差異・保留・再試験理由</x:v>
      </x:c>
      <x:c r="Q5" s="6" t="str">
        <x:v>期限差(日)</x:v>
      </x:c>
      <x:c r="R5" s="6" t="str">
        <x:v>実績確認</x:v>
      </x:c>
    </x:row>
    <x:row r="6" ht="55" customHeight="1">
      <x:c r="A6" s="9" t="str">
        <x:v>W-001</x:v>
      </x:c>
      <x:c r="B6" s="9" t="str">
        <x:v>10月</x:v>
      </x:c>
      <x:c r="C6" s="9" t="str">
        <x:v>仕様</x:v>
      </x:c>
      <x:c r="D6" s="9" t="str">
        <x:v>学校日程・担当・提出形式を確定</x:v>
      </x:c>
      <x:c r="E6" s="11"/>
      <x:c r="F6" s="12" t="d">
        <x:v>2026-10-31T00:00:00.000Z</x:v>
      </x:c>
      <x:c r="G6" s="10"/>
      <x:c r="H6" s="11"/>
      <x:c r="I6" s="11"/>
      <x:c r="J6" s="14"/>
      <x:c r="K6" s="10" t="str">
        <x:v>チーム確認</x:v>
      </x:c>
      <x:c r="L6" s="10" t="str">
        <x:v>詳細設計/分担決定</x:v>
      </x:c>
      <x:c r="M6" s="9" t="str">
        <x:v>https://github.com/ryuki-moro/Nicomaru/issues/50</x:v>
      </x:c>
      <x:c r="N6" s="10"/>
      <x:c r="O6" s="10"/>
      <x:c r="P6" s="10"/>
      <x:c r="Q6" s="9" t="str">
        <x:f>IF(I6="","",I6-F6)</x:f>
      </x:c>
      <x:c r="R6" s="9" t="str">
        <x:f>IF(I6="","未実施/終了未確認",IF(OR(G6="",N6="",O6=""),"担当・証拠・確認者を記入","確認欄あり"))</x:f>
        <x:v>未実施/終了未確認</x:v>
      </x:c>
    </x:row>
    <x:row r="7" ht="92" customHeight="1">
      <x:c r="A7" s="8" t="str">
        <x:v>W-002</x:v>
      </x:c>
      <x:c r="B7" s="8" t="str">
        <x:v>10月</x:v>
      </x:c>
      <x:c r="C7" s="8" t="str">
        <x:v>実装</x:v>
      </x:c>
      <x:c r="D7" s="8" t="str">
        <x:v>式場編集・Origin保護を検証</x:v>
      </x:c>
      <x:c r="E7" s="11"/>
      <x:c r="F7" s="13" t="d">
        <x:v>2026-10-31T00:00:00.000Z</x:v>
      </x:c>
      <x:c r="G7" s="10"/>
      <x:c r="H7" s="11"/>
      <x:c r="I7" s="11"/>
      <x:c r="J7" s="14"/>
      <x:c r="K7" s="10" t="str">
        <x:v>確認済みコード記録</x:v>
      </x:c>
      <x:c r="L7" s="10" t="str">
        <x:v>式場更新API・編集画面／Origin保護</x:v>
      </x:c>
      <x:c r="M7" s="8" t="str">
        <x:v>https://github.com/ryuki-moro/Nicomaru/issues/54</x:v>
      </x:c>
      <x:c r="N7" s="10" t="str">
        <x:v>https://github.com/ryuki-moro/Nicomaru/commit/04d9e26</x:v>
      </x:c>
      <x:c r="O7" s="10"/>
      <x:c r="P7" s="10" t="str">
        <x:v>commit記録: 10/8: bd064af,04d9e26／10/9: bc406c4,3f02841。コード記録のみ。本人の作業日・時間・確認者は未確認。</x:v>
      </x:c>
      <x:c r="Q7" s="8" t="str">
        <x:f>IF(I7="","",I7-F7)</x:f>
      </x:c>
      <x:c r="R7" s="8" t="str">
        <x:f>IF(I7="","未実施/終了未確認",IF(OR(G7="",N7="",O7=""),"担当・証拠・確認者を記入","確認欄あり"))</x:f>
        <x:v>未実施/終了未確認</x:v>
      </x:c>
    </x:row>
    <x:row r="8" ht="92" customHeight="1">
      <x:c r="A8" s="9" t="str">
        <x:v>W-003</x:v>
      </x:c>
      <x:c r="B8" s="9" t="str">
        <x:v>10月</x:v>
      </x:c>
      <x:c r="C8" s="9" t="str">
        <x:v>実装</x:v>
      </x:c>
      <x:c r="D8" s="9" t="str">
        <x:v>削除バッチ修正のコミットを作成</x:v>
      </x:c>
      <x:c r="E8" s="11"/>
      <x:c r="F8" s="12" t="d">
        <x:v>2026-10-31T00:00:00.000Z</x:v>
      </x:c>
      <x:c r="G8" s="10"/>
      <x:c r="H8" s="11"/>
      <x:c r="I8" s="11"/>
      <x:c r="J8" s="14"/>
      <x:c r="K8" s="10" t="str">
        <x:v>確認済みコード記録</x:v>
      </x:c>
      <x:c r="L8" s="10" t="str">
        <x:v>削除バッチの部分失敗・再試行・二重集計修正</x:v>
      </x:c>
      <x:c r="M8" s="9" t="str">
        <x:v>https://github.com/ryuki-moro/Nicomaru/issues/69</x:v>
      </x:c>
      <x:c r="N8" s="10" t="str">
        <x:v>https://github.com/ryuki-moro/Nicomaru/commit/66cdede</x:v>
      </x:c>
      <x:c r="O8" s="10"/>
      <x:c r="P8" s="10" t="str">
        <x:v>commit記録: 10/9: 66cdede,579d7d9。旧終了日10/9はcommit日。本人の終了日と区別し実績終了を空欄に変更。</x:v>
      </x:c>
      <x:c r="Q8" s="9" t="str">
        <x:f>IF(I8="","",I8-F8)</x:f>
      </x:c>
      <x:c r="R8" s="9" t="str">
        <x:f>IF(I8="","未実施/終了未確認",IF(OR(G8="",N8="",O8=""),"担当・証拠・確認者を記入","確認欄あり"))</x:f>
        <x:v>未実施/終了未確認</x:v>
      </x:c>
    </x:row>
    <x:row r="9" ht="92" customHeight="1">
      <x:c r="A9" s="8" t="str">
        <x:v>W-004</x:v>
      </x:c>
      <x:c r="B9" s="8" t="str">
        <x:v>10月</x:v>
      </x:c>
      <x:c r="C9" s="8" t="str">
        <x:v>実装</x:v>
      </x:c>
      <x:c r="D9" s="8" t="str">
        <x:v>依存更新のコミットを作成</x:v>
      </x:c>
      <x:c r="E9" s="11"/>
      <x:c r="F9" s="13" t="d">
        <x:v>2026-10-31T00:00:00.000Z</x:v>
      </x:c>
      <x:c r="G9" s="10"/>
      <x:c r="H9" s="11"/>
      <x:c r="I9" s="11"/>
      <x:c r="J9" s="14"/>
      <x:c r="K9" s="10" t="str">
        <x:v>確認済みコード記録</x:v>
      </x:c>
      <x:c r="L9" s="10" t="str">
        <x:v>Next.js・sharp等の依存修正</x:v>
      </x:c>
      <x:c r="M9" s="8" t="str">
        <x:v>https://github.com/ryuki-moro/Nicomaru/issues/47</x:v>
      </x:c>
      <x:c r="N9" s="10" t="str">
        <x:v>https://github.com/ryuki-moro/Nicomaru/commit/99c1e6f</x:v>
      </x:c>
      <x:c r="O9" s="10"/>
      <x:c r="P9" s="10" t="str">
        <x:v>commit記録: 10/6: 0a8fe5b,d8f8ce2／10/9: 99c1e6f。旧終了日10/9はcommit日。本人の終了日と区別し実績終了を空欄に変更。</x:v>
      </x:c>
      <x:c r="Q9" s="8" t="str">
        <x:f>IF(I9="","",I9-F9)</x:f>
      </x:c>
      <x:c r="R9" s="8" t="str">
        <x:f>IF(I9="","未実施/終了未確認",IF(OR(G9="",N9="",O9=""),"担当・証拠・確認者を記入","確認欄あり"))</x:f>
        <x:v>未実施/終了未確認</x:v>
      </x:c>
    </x:row>
    <x:row r="10" ht="92" customHeight="1">
      <x:c r="A10" s="9" t="str">
        <x:v>W-005</x:v>
      </x:c>
      <x:c r="B10" s="9" t="str">
        <x:v>10月</x:v>
      </x:c>
      <x:c r="C10" s="9" t="str">
        <x:v>実装</x:v>
      </x:c>
      <x:c r="D10" s="9" t="str">
        <x:v>容量集計・監視・監査保持を実装/検証</x:v>
      </x:c>
      <x:c r="E10" s="11"/>
      <x:c r="F10" s="12" t="d">
        <x:v>2026-10-31T00:00:00.000Z</x:v>
      </x:c>
      <x:c r="G10" s="10"/>
      <x:c r="H10" s="11"/>
      <x:c r="I10" s="11"/>
      <x:c r="J10" s="14"/>
      <x:c r="K10" s="10" t="str">
        <x:v>確認済みコード記録</x:v>
      </x:c>
      <x:c r="L10" s="10" t="str">
        <x:v>監視・監査イベント保護・監査待機の修正</x:v>
      </x:c>
      <x:c r="M10" s="9" t="str">
        <x:v>https://github.com/ryuki-moro/Nicomaru/issues/54</x:v>
      </x:c>
      <x:c r="N10" s="10" t="str">
        <x:v>https://github.com/ryuki-moro/Nicomaru/commit/cf739a9</x:v>
      </x:c>
      <x:c r="O10" s="10"/>
      <x:c r="P10" s="10" t="str">
        <x:v>commit記録: 10/9: cf739a9,15d2367,ad96179。コード記録のみ。容量集計等を含む行全体の完了や人の試験実施は未確認。</x:v>
      </x:c>
      <x:c r="Q10" s="9" t="str">
        <x:f>IF(I10="","",I10-F10)</x:f>
      </x:c>
      <x:c r="R10" s="9" t="str">
        <x:f>IF(I10="","未実施/終了未確認",IF(OR(G10="",N10="",O10=""),"担当・証拠・確認者を記入","確認欄あり"))</x:f>
        <x:v>未実施/終了未確認</x:v>
      </x:c>
    </x:row>
    <x:row r="11" ht="92" customHeight="1">
      <x:c r="A11" s="8" t="str">
        <x:v>W-006</x:v>
      </x:c>
      <x:c r="B11" s="8" t="str">
        <x:v>10月</x:v>
      </x:c>
      <x:c r="C11" s="8" t="str">
        <x:v>実装</x:v>
      </x:c>
      <x:c r="D11" s="8" t="str">
        <x:v>PWA・性能ログ・依存更新自動化・整形を検証</x:v>
      </x:c>
      <x:c r="E11" s="11"/>
      <x:c r="F11" s="13" t="d">
        <x:v>2026-10-31T00:00:00.000Z</x:v>
      </x:c>
      <x:c r="G11" s="10"/>
      <x:c r="H11" s="11"/>
      <x:c r="I11" s="11"/>
      <x:c r="J11" s="14"/>
      <x:c r="K11" s="10" t="str">
        <x:v>確認済みコード記録</x:v>
      </x:c>
      <x:c r="L11" s="10" t="str">
        <x:v>PWA・性能検証準備・依存更新自動化・整形</x:v>
      </x:c>
      <x:c r="M11" s="8" t="str">
        <x:v>https://github.com/ryuki-moro/Nicomaru/issues/54</x:v>
      </x:c>
      <x:c r="N11" s="10" t="str">
        <x:v>https://github.com/ryuki-moro/Nicomaru/commit/cf739a9</x:v>
      </x:c>
      <x:c r="O11" s="10"/>
      <x:c r="P11" s="10" t="str">
        <x:v>commit記録: 10/9: cf739a9,9d6a696,c6048b2。コード記録のみ。実端末試験・本人実績は未確認。</x:v>
      </x:c>
      <x:c r="Q11" s="8" t="str">
        <x:f>IF(I11="","",I11-F11)</x:f>
      </x:c>
      <x:c r="R11" s="8" t="str">
        <x:f>IF(I11="","未実施/終了未確認",IF(OR(G11="",N11="",O11=""),"担当・証拠・確認者を記入","確認欄あり"))</x:f>
        <x:v>未実施/終了未確認</x:v>
      </x:c>
    </x:row>
    <x:row r="12" ht="92" customHeight="1">
      <x:c r="A12" s="9" t="str">
        <x:v>W-007</x:v>
      </x:c>
      <x:c r="B12" s="9" t="str">
        <x:v>10月</x:v>
      </x:c>
      <x:c r="C12" s="9" t="str">
        <x:v>文書</x:v>
      </x:c>
      <x:c r="D12" s="9" t="str">
        <x:v>詳細設計図をコードと照合</x:v>
      </x:c>
      <x:c r="E12" s="11"/>
      <x:c r="F12" s="12" t="d">
        <x:v>2026-10-31T00:00:00.000Z</x:v>
      </x:c>
      <x:c r="G12" s="10"/>
      <x:c r="H12" s="11"/>
      <x:c r="I12" s="11"/>
      <x:c r="J12" s="14"/>
      <x:c r="K12" s="10" t="str">
        <x:v>確認済みコード記録</x:v>
      </x:c>
      <x:c r="L12" s="10" t="str">
        <x:v>docs/詳細設計/詳細設計図.pdf ほか</x:v>
      </x:c>
      <x:c r="M12" s="9" t="str">
        <x:v>https://github.com/ryuki-moro/Nicomaru/issues/50</x:v>
      </x:c>
      <x:c r="N12" s="10" t="str">
        <x:v>https://github.com/ryuki-moro/Nicomaru/commit/832bc81</x:v>
      </x:c>
      <x:c r="O12" s="10"/>
      <x:c r="P12" s="10" t="str">
        <x:v>commit記録: 10/9: 832bc81。資料の作成記録。別メンバーによるコード照合・確認は未確認。</x:v>
      </x:c>
      <x:c r="Q12" s="9" t="str">
        <x:f>IF(I12="","",I12-F12)</x:f>
      </x:c>
      <x:c r="R12" s="9" t="str">
        <x:f>IF(I12="","未実施/終了未確認",IF(OR(G12="",N12="",O12=""),"担当・証拠・確認者を記入","確認欄あり"))</x:f>
        <x:v>未実施/終了未確認</x:v>
      </x:c>
    </x:row>
    <x:row r="13" ht="92" customHeight="1">
      <x:c r="A13" s="8" t="str">
        <x:v>W-008</x:v>
      </x:c>
      <x:c r="B13" s="8" t="str">
        <x:v>10月</x:v>
      </x:c>
      <x:c r="C13" s="8" t="str">
        <x:v>発表</x:v>
      </x:c>
      <x:c r="D13" s="8" t="str">
        <x:v>中間発表PowerPoint/原稿を整える</x:v>
      </x:c>
      <x:c r="E13" s="11"/>
      <x:c r="F13" s="13" t="d">
        <x:v>2026-10-31T00:00:00.000Z</x:v>
      </x:c>
      <x:c r="G13" s="10"/>
      <x:c r="H13" s="11"/>
      <x:c r="I13" s="11"/>
      <x:c r="J13" s="14"/>
      <x:c r="K13" s="10" t="str">
        <x:v>確認済みコード記録</x:v>
      </x:c>
      <x:c r="L13" s="10" t="str">
        <x:v>docs/発表/中間発表/ のPowerPoint・原稿</x:v>
      </x:c>
      <x:c r="M13" s="8" t="str">
        <x:v>https://github.com/ryuki-moro/Nicomaru/issues/51</x:v>
      </x:c>
      <x:c r="N13" s="10" t="str">
        <x:v>https://github.com/ryuki-moro/Nicomaru/commit/832bc81</x:v>
      </x:c>
      <x:c r="O13" s="10"/>
      <x:c r="P13" s="10" t="str">
        <x:v>commit記録: 10/9: 832bc81。雛形の作成記録。本人の編集日・時間や発表実施は未確認。</x:v>
      </x:c>
      <x:c r="Q13" s="8" t="str">
        <x:f>IF(I13="","",I13-F13)</x:f>
      </x:c>
      <x:c r="R13" s="8" t="str">
        <x:f>IF(I13="","未実施/終了未確認",IF(OR(G13="",N13="",O13=""),"担当・証拠・確認者を記入","確認欄あり"))</x:f>
        <x:v>未実施/終了未確認</x:v>
      </x:c>
    </x:row>
    <x:row r="14" ht="55" customHeight="1">
      <x:c r="A14" s="9" t="str">
        <x:v>W-009</x:v>
      </x:c>
      <x:c r="B14" s="9" t="str">
        <x:v>10月</x:v>
      </x:c>
      <x:c r="C14" s="9" t="str">
        <x:v>発表</x:v>
      </x:c>
      <x:c r="D14" s="9" t="str">
        <x:v>中間発表の役割と実演手順をリハーサル</x:v>
      </x:c>
      <x:c r="E14" s="11"/>
      <x:c r="F14" s="12" t="d">
        <x:v>2026-10-31T00:00:00.000Z</x:v>
      </x:c>
      <x:c r="G14" s="10"/>
      <x:c r="H14" s="11"/>
      <x:c r="I14" s="11"/>
      <x:c r="J14" s="14"/>
      <x:c r="K14" s="10" t="str">
        <x:v>人間未実施</x:v>
      </x:c>
      <x:c r="L14" s="10" t="str">
        <x:v>リハーサル記録</x:v>
      </x:c>
      <x:c r="M14" s="9" t="str">
        <x:v>https://github.com/ryuki-moro/Nicomaru/issues/51</x:v>
      </x:c>
      <x:c r="N14" s="10"/>
      <x:c r="O14" s="10"/>
      <x:c r="P14" s="10"/>
      <x:c r="Q14" s="9" t="str">
        <x:f>IF(I14="","",I14-F14)</x:f>
      </x:c>
      <x:c r="R14" s="9" t="str">
        <x:f>IF(I14="","未実施/終了未確認",IF(OR(G14="",N14="",O14=""),"担当・証拠・確認者を記入","確認欄あり"))</x:f>
        <x:v>未実施/終了未確認</x:v>
      </x:c>
    </x:row>
    <x:row r="15" ht="92" customHeight="1">
      <x:c r="A15" s="8" t="str">
        <x:v>W-010</x:v>
      </x:c>
      <x:c r="B15" s="8" t="str">
        <x:v>10月</x:v>
      </x:c>
      <x:c r="C15" s="8" t="str">
        <x:v>管理</x:v>
      </x:c>
      <x:c r="D15" s="8" t="str">
        <x:v>WBSに本人の作業時間・成果物を毎週記録</x:v>
      </x:c>
      <x:c r="E15" s="11"/>
      <x:c r="F15" s="13" t="d">
        <x:v>2026-10-31T00:00:00.000Z</x:v>
      </x:c>
      <x:c r="G15" s="10"/>
      <x:c r="H15" s="11"/>
      <x:c r="I15" s="11"/>
      <x:c r="J15" s="14"/>
      <x:c r="K15" s="10" t="str">
        <x:v>確認済みコード記録</x:v>
      </x:c>
      <x:c r="L15" s="10" t="str">
        <x:v>docs/WBS/作業計画と実績.xlsx</x:v>
      </x:c>
      <x:c r="M15" s="8" t="str">
        <x:v>https://github.com/ryuki-moro/Nicomaru/issues/65</x:v>
      </x:c>
      <x:c r="N15" s="10" t="str">
        <x:v>https://github.com/ryuki-moro/Nicomaru/commit/832bc81</x:v>
      </x:c>
      <x:c r="O15" s="10"/>
      <x:c r="P15" s="10" t="str">
        <x:v>commit記録: 10/9: 832bc81。WBSの雛形作成記録。今回の証拠追記と本人の作業時間の確認は別。</x:v>
      </x:c>
      <x:c r="Q15" s="8" t="str">
        <x:f>IF(I15="","",I15-F15)</x:f>
      </x:c>
      <x:c r="R15" s="8" t="str">
        <x:f>IF(I15="","未実施/終了未確認",IF(OR(G15="",N15="",O15=""),"担当・証拠・確認者を記入","確認欄あり"))</x:f>
        <x:v>未実施/終了未確認</x:v>
      </x:c>
    </x:row>
    <x:row r="16" ht="55" customHeight="1">
      <x:c r="A16" s="9" t="str">
        <x:v>W-011</x:v>
      </x:c>
      <x:c r="B16" s="9" t="str">
        <x:v>11月</x:v>
      </x:c>
      <x:c r="C16" s="9" t="str">
        <x:v>実装</x:v>
      </x:c>
      <x:c r="D16" s="9" t="str">
        <x:v>11月版コードと既知の制限を確定</x:v>
      </x:c>
      <x:c r="E16" s="11"/>
      <x:c r="F16" s="12" t="d">
        <x:v>2026-11-30T00:00:00.000Z</x:v>
      </x:c>
      <x:c r="G16" s="10"/>
      <x:c r="H16" s="11"/>
      <x:c r="I16" s="11"/>
      <x:c r="J16" s="14"/>
      <x:c r="K16" s="10" t="str">
        <x:v>将来予定</x:v>
      </x:c>
      <x:c r="L16" s="10" t="str">
        <x:v>対象commit/既知の制限</x:v>
      </x:c>
      <x:c r="M16" s="9" t="str">
        <x:v>https://github.com/ryuki-moro/Nicomaru/issues/55</x:v>
      </x:c>
      <x:c r="N16" s="10"/>
      <x:c r="O16" s="10"/>
      <x:c r="P16" s="10"/>
      <x:c r="Q16" s="9" t="str">
        <x:f>IF(I16="","",I16-F16)</x:f>
      </x:c>
      <x:c r="R16" s="9" t="str">
        <x:f>IF(I16="","未実施/終了未確認",IF(OR(G16="",N16="",O16=""),"担当・証拠・確認者を記入","確認欄あり"))</x:f>
        <x:v>未実施/終了未確認</x:v>
      </x:c>
    </x:row>
    <x:row r="17" ht="55" customHeight="1">
      <x:c r="A17" s="8" t="str">
        <x:v>W-012</x:v>
      </x:c>
      <x:c r="B17" s="8" t="str">
        <x:v>11月</x:v>
      </x:c>
      <x:c r="C17" s="8" t="str">
        <x:v>試験</x:v>
      </x:c>
      <x:c r="D17" s="8" t="str">
        <x:v>同値分割/境界値/状態遷移/権限の観点を確認</x:v>
      </x:c>
      <x:c r="E17" s="11"/>
      <x:c r="F17" s="13" t="d">
        <x:v>2026-11-30T00:00:00.000Z</x:v>
      </x:c>
      <x:c r="G17" s="10"/>
      <x:c r="H17" s="11"/>
      <x:c r="I17" s="11"/>
      <x:c r="J17" s="14"/>
      <x:c r="K17" s="10" t="str">
        <x:v>メンバー確認</x:v>
      </x:c>
      <x:c r="L17" s="10" t="str">
        <x:v>テスト技法とケース対応</x:v>
      </x:c>
      <x:c r="M17" s="8" t="str">
        <x:v>https://github.com/ryuki-moro/Nicomaru/issues/56</x:v>
      </x:c>
      <x:c r="N17" s="10"/>
      <x:c r="O17" s="10"/>
      <x:c r="P17" s="10"/>
      <x:c r="Q17" s="8" t="str">
        <x:f>IF(I17="","",I17-F17)</x:f>
      </x:c>
      <x:c r="R17" s="8" t="str">
        <x:f>IF(I17="","未実施/終了未確認",IF(OR(G17="",N17="",O17=""),"担当・証拠・確認者を記入","確認欄あり"))</x:f>
        <x:v>未実施/終了未確認</x:v>
      </x:c>
    </x:row>
    <x:row r="18" ht="55" customHeight="1">
      <x:c r="A18" s="9" t="str">
        <x:v>W-013</x:v>
      </x:c>
      <x:c r="B18" s="9" t="str">
        <x:v>11月</x:v>
      </x:c>
      <x:c r="C18" s="9" t="str">
        <x:v>学習</x:v>
      </x:c>
      <x:c r="D18" s="9" t="str">
        <x:v>学校のAWS課題・指定環境・費用条件を確認</x:v>
      </x:c>
      <x:c r="E18" s="11"/>
      <x:c r="F18" s="12" t="d">
        <x:v>2026-11-30T00:00:00.000Z</x:v>
      </x:c>
      <x:c r="G18" s="10"/>
      <x:c r="H18" s="11"/>
      <x:c r="I18" s="11"/>
      <x:c r="J18" s="14"/>
      <x:c r="K18" s="10" t="str">
        <x:v>人間未実施</x:v>
      </x:c>
      <x:c r="L18" s="10" t="str">
        <x:v>教材/演習条件</x:v>
      </x:c>
      <x:c r="M18" s="9" t="str">
        <x:v>https://github.com/ryuki-moro/Nicomaru/issues/57</x:v>
      </x:c>
      <x:c r="N18" s="10"/>
      <x:c r="O18" s="10"/>
      <x:c r="P18" s="10"/>
      <x:c r="Q18" s="9" t="str">
        <x:f>IF(I18="","",I18-F18)</x:f>
      </x:c>
      <x:c r="R18" s="9" t="str">
        <x:f>IF(I18="","未実施/終了未確認",IF(OR(G18="",N18="",O18=""),"担当・証拠・確認者を記入","確認欄あり"))</x:f>
        <x:v>未実施/終了未確認</x:v>
      </x:c>
    </x:row>
    <x:row r="19" ht="55" customHeight="1">
      <x:c r="A19" s="8" t="str">
        <x:v>W-014</x:v>
      </x:c>
      <x:c r="B19" s="8" t="str">
        <x:v>11月</x:v>
      </x:c>
      <x:c r="C19" s="8" t="str">
        <x:v>学習</x:v>
      </x:c>
      <x:c r="D19" s="8" t="str">
        <x:v>指定されたAWS演習を実施し記録</x:v>
      </x:c>
      <x:c r="E19" s="11"/>
      <x:c r="F19" s="13" t="d">
        <x:v>2026-11-30T00:00:00.000Z</x:v>
      </x:c>
      <x:c r="G19" s="10"/>
      <x:c r="H19" s="11"/>
      <x:c r="I19" s="11"/>
      <x:c r="J19" s="14"/>
      <x:c r="K19" s="10" t="str">
        <x:v>将来予定</x:v>
      </x:c>
      <x:c r="L19" s="10" t="str">
        <x:v>演習手順/結果</x:v>
      </x:c>
      <x:c r="M19" s="8" t="str">
        <x:v>https://github.com/ryuki-moro/Nicomaru/issues/57</x:v>
      </x:c>
      <x:c r="N19" s="10"/>
      <x:c r="O19" s="10"/>
      <x:c r="P19" s="10"/>
      <x:c r="Q19" s="8" t="str">
        <x:f>IF(I19="","",I19-F19)</x:f>
      </x:c>
      <x:c r="R19" s="8" t="str">
        <x:f>IF(I19="","未実施/終了未確認",IF(OR(G19="",N19="",O19=""),"担当・証拠・確認者を記入","確認欄あり"))</x:f>
        <x:v>未実施/終了未確認</x:v>
      </x:c>
    </x:row>
    <x:row r="20" ht="55" customHeight="1">
      <x:c r="A20" s="9" t="str">
        <x:v>W-015</x:v>
      </x:c>
      <x:c r="B20" s="9" t="str">
        <x:v>11月</x:v>
      </x:c>
      <x:c r="C20" s="9" t="str">
        <x:v>発表</x:v>
      </x:c>
      <x:c r="D20" s="9" t="str">
        <x:v>中間発表を実施し指摘を記録</x:v>
      </x:c>
      <x:c r="E20" s="11"/>
      <x:c r="F20" s="12" t="d">
        <x:v>2026-11-30T00:00:00.000Z</x:v>
      </x:c>
      <x:c r="G20" s="10"/>
      <x:c r="H20" s="11"/>
      <x:c r="I20" s="11"/>
      <x:c r="J20" s="14"/>
      <x:c r="K20" s="10" t="str">
        <x:v>人間未実施</x:v>
      </x:c>
      <x:c r="L20" s="10" t="str">
        <x:v>発表記録/指摘一覧</x:v>
      </x:c>
      <x:c r="M20" s="9" t="str">
        <x:v>https://github.com/ryuki-moro/Nicomaru/issues/58</x:v>
      </x:c>
      <x:c r="N20" s="10"/>
      <x:c r="O20" s="10"/>
      <x:c r="P20" s="10"/>
      <x:c r="Q20" s="9" t="str">
        <x:f>IF(I20="","",I20-F20)</x:f>
      </x:c>
      <x:c r="R20" s="9" t="str">
        <x:f>IF(I20="","未実施/終了未確認",IF(OR(G20="",N20="",O20=""),"担当・証拠・確認者を記入","確認欄あり"))</x:f>
        <x:v>未実施/終了未確認</x:v>
      </x:c>
    </x:row>
    <x:row r="21" ht="55" customHeight="1">
      <x:c r="A21" s="8" t="str">
        <x:v>W-016</x:v>
      </x:c>
      <x:c r="B21" s="8" t="str">
        <x:v>11月</x:v>
      </x:c>
      <x:c r="C21" s="8" t="str">
        <x:v>実装</x:v>
      </x:c>
      <x:c r="D21" s="8" t="str">
        <x:v>中間指摘の修正と再確認</x:v>
      </x:c>
      <x:c r="E21" s="11"/>
      <x:c r="F21" s="13" t="d">
        <x:v>2026-11-30T00:00:00.000Z</x:v>
      </x:c>
      <x:c r="G21" s="10"/>
      <x:c r="H21" s="11"/>
      <x:c r="I21" s="11"/>
      <x:c r="J21" s="14"/>
      <x:c r="K21" s="10" t="str">
        <x:v>将来予定</x:v>
      </x:c>
      <x:c r="L21" s="10" t="str">
        <x:v>修正PR/再試験</x:v>
      </x:c>
      <x:c r="M21" s="8" t="str">
        <x:v>https://github.com/ryuki-moro/Nicomaru/issues/55</x:v>
      </x:c>
      <x:c r="N21" s="10"/>
      <x:c r="O21" s="10"/>
      <x:c r="P21" s="10"/>
      <x:c r="Q21" s="8" t="str">
        <x:f>IF(I21="","",I21-F21)</x:f>
      </x:c>
      <x:c r="R21" s="8" t="str">
        <x:f>IF(I21="","未実施/終了未確認",IF(OR(G21="",N21="",O21=""),"担当・証拠・確認者を記入","確認欄あり"))</x:f>
        <x:v>未実施/終了未確認</x:v>
      </x:c>
    </x:row>
    <x:row r="22" ht="55" customHeight="1">
      <x:c r="A22" s="9" t="str">
        <x:v>W-017</x:v>
      </x:c>
      <x:c r="B22" s="9" t="str">
        <x:v>12月</x:v>
      </x:c>
      <x:c r="C22" s="9" t="str">
        <x:v>試験</x:v>
      </x:c>
      <x:c r="D22" s="9" t="str">
        <x:v>試験仕様書を対象版へ合わせ別メンバーが試読</x:v>
      </x:c>
      <x:c r="E22" s="11"/>
      <x:c r="F22" s="12" t="d">
        <x:v>2026-12-31T00:00:00.000Z</x:v>
      </x:c>
      <x:c r="G22" s="10"/>
      <x:c r="H22" s="11"/>
      <x:c r="I22" s="11"/>
      <x:c r="J22" s="14"/>
      <x:c r="K22" s="10" t="str">
        <x:v>メンバー確認</x:v>
      </x:c>
      <x:c r="L22" s="10" t="str">
        <x:v>本テスト仕様書/確認記録</x:v>
      </x:c>
      <x:c r="M22" s="9" t="str">
        <x:v>https://github.com/ryuki-moro/Nicomaru/issues/59</x:v>
      </x:c>
      <x:c r="N22" s="10"/>
      <x:c r="O22" s="10"/>
      <x:c r="P22" s="10"/>
      <x:c r="Q22" s="9" t="str">
        <x:f>IF(I22="","",I22-F22)</x:f>
      </x:c>
      <x:c r="R22" s="9" t="str">
        <x:f>IF(I22="","未実施/終了未確認",IF(OR(G22="",N22="",O22=""),"担当・証拠・確認者を記入","確認欄あり"))</x:f>
        <x:v>未実施/終了未確認</x:v>
      </x:c>
    </x:row>
    <x:row r="23" ht="55" customHeight="1">
      <x:c r="A23" s="8" t="str">
        <x:v>W-018</x:v>
      </x:c>
      <x:c r="B23" s="8" t="str">
        <x:v>12月</x:v>
      </x:c>
      <x:c r="C23" s="8" t="str">
        <x:v>試験</x:v>
      </x:c>
      <x:c r="D23" s="8" t="str">
        <x:v>コア44機能の正常/異常を実施</x:v>
      </x:c>
      <x:c r="E23" s="11"/>
      <x:c r="F23" s="13" t="d">
        <x:v>2026-12-31T00:00:00.000Z</x:v>
      </x:c>
      <x:c r="G23" s="10"/>
      <x:c r="H23" s="11"/>
      <x:c r="I23" s="11"/>
      <x:c r="J23" s="14"/>
      <x:c r="K23" s="10" t="str">
        <x:v>人間未実施</x:v>
      </x:c>
      <x:c r="L23" s="10" t="str">
        <x:v>試験結果/証拠</x:v>
      </x:c>
      <x:c r="M23" s="8" t="str">
        <x:v>https://github.com/ryuki-moro/Nicomaru/issues/60</x:v>
      </x:c>
      <x:c r="N23" s="10"/>
      <x:c r="O23" s="10"/>
      <x:c r="P23" s="10"/>
      <x:c r="Q23" s="8" t="str">
        <x:f>IF(I23="","",I23-F23)</x:f>
      </x:c>
      <x:c r="R23" s="8" t="str">
        <x:f>IF(I23="","未実施/終了未確認",IF(OR(G23="",N23="",O23=""),"担当・証拠・確認者を記入","確認欄あり"))</x:f>
        <x:v>未実施/終了未確認</x:v>
      </x:c>
    </x:row>
    <x:row r="24" ht="55" customHeight="1">
      <x:c r="A24" s="9" t="str">
        <x:v>W-019</x:v>
      </x:c>
      <x:c r="B24" s="9" t="str">
        <x:v>12月</x:v>
      </x:c>
      <x:c r="C24" s="9" t="str">
        <x:v>試験</x:v>
      </x:c>
      <x:c r="D24" s="9" t="str">
        <x:v>認可/共有/ファイル/通知の境界を実施</x:v>
      </x:c>
      <x:c r="E24" s="11"/>
      <x:c r="F24" s="12" t="d">
        <x:v>2026-12-31T00:00:00.000Z</x:v>
      </x:c>
      <x:c r="G24" s="10"/>
      <x:c r="H24" s="11"/>
      <x:c r="I24" s="11"/>
      <x:c r="J24" s="14"/>
      <x:c r="K24" s="10" t="str">
        <x:v>人間未実施</x:v>
      </x:c>
      <x:c r="L24" s="10" t="str">
        <x:v>共通試験結果/証拠</x:v>
      </x:c>
      <x:c r="M24" s="9" t="str">
        <x:v>https://github.com/ryuki-moro/Nicomaru/issues/60</x:v>
      </x:c>
      <x:c r="N24" s="10"/>
      <x:c r="O24" s="10"/>
      <x:c r="P24" s="10"/>
      <x:c r="Q24" s="9" t="str">
        <x:f>IF(I24="","",I24-F24)</x:f>
      </x:c>
      <x:c r="R24" s="9" t="str">
        <x:f>IF(I24="","未実施/終了未確認",IF(OR(G24="",N24="",O24=""),"担当・証拠・確認者を記入","確認欄あり"))</x:f>
        <x:v>未実施/終了未確認</x:v>
      </x:c>
    </x:row>
    <x:row r="25" ht="55" customHeight="1">
      <x:c r="A25" s="8" t="str">
        <x:v>W-020</x:v>
      </x:c>
      <x:c r="B25" s="8" t="str">
        <x:v>12月</x:v>
      </x:c>
      <x:c r="C25" s="8" t="str">
        <x:v>試験</x:v>
      </x:c>
      <x:c r="D25" s="8" t="str">
        <x:v>PC/スマホ実機とAI停止時の手動操作を確認</x:v>
      </x:c>
      <x:c r="E25" s="11"/>
      <x:c r="F25" s="13" t="d">
        <x:v>2026-12-31T00:00:00.000Z</x:v>
      </x:c>
      <x:c r="G25" s="10"/>
      <x:c r="H25" s="11"/>
      <x:c r="I25" s="11"/>
      <x:c r="J25" s="14"/>
      <x:c r="K25" s="10" t="str">
        <x:v>人間未実施</x:v>
      </x:c>
      <x:c r="L25" s="10" t="str">
        <x:v>端末別記録/スクリーンショット</x:v>
      </x:c>
      <x:c r="M25" s="8" t="str">
        <x:v>https://github.com/ryuki-moro/Nicomaru/issues/60</x:v>
      </x:c>
      <x:c r="N25" s="10"/>
      <x:c r="O25" s="10"/>
      <x:c r="P25" s="10"/>
      <x:c r="Q25" s="8" t="str">
        <x:f>IF(I25="","",I25-F25)</x:f>
      </x:c>
      <x:c r="R25" s="8" t="str">
        <x:f>IF(I25="","未実施/終了未確認",IF(OR(G25="",N25="",O25=""),"担当・証拠・確認者を記入","確認欄あり"))</x:f>
        <x:v>未実施/終了未確認</x:v>
      </x:c>
    </x:row>
    <x:row r="26" ht="55" customHeight="1">
      <x:c r="A26" s="9" t="str">
        <x:v>W-021</x:v>
      </x:c>
      <x:c r="B26" s="9" t="str">
        <x:v>12月</x:v>
      </x:c>
      <x:c r="C26" s="9" t="str">
        <x:v>評価</x:v>
      </x:c>
      <x:c r="D26" s="9" t="str">
        <x:v>EVAL-01〜05の模擬評価を実施</x:v>
      </x:c>
      <x:c r="E26" s="11"/>
      <x:c r="F26" s="12" t="d">
        <x:v>2026-12-31T00:00:00.000Z</x:v>
      </x:c>
      <x:c r="G26" s="10"/>
      <x:c r="H26" s="11"/>
      <x:c r="I26" s="11"/>
      <x:c r="J26" s="14"/>
      <x:c r="K26" s="10" t="str">
        <x:v>人間未実施</x:v>
      </x:c>
      <x:c r="L26" s="10" t="str">
        <x:v>タイムログ/検知/リスク/アンケート/AI品質</x:v>
      </x:c>
      <x:c r="M26" s="9" t="str">
        <x:v>https://github.com/ryuki-moro/Nicomaru/issues/21</x:v>
      </x:c>
      <x:c r="N26" s="10"/>
      <x:c r="O26" s="10"/>
      <x:c r="P26" s="10"/>
      <x:c r="Q26" s="9" t="str">
        <x:f>IF(I26="","",I26-F26)</x:f>
      </x:c>
      <x:c r="R26" s="9" t="str">
        <x:f>IF(I26="","未実施/終了未確認",IF(OR(G26="",N26="",O26=""),"担当・証拠・確認者を記入","確認欄あり"))</x:f>
        <x:v>未実施/終了未確認</x:v>
      </x:c>
    </x:row>
    <x:row r="27" ht="55" customHeight="1">
      <x:c r="A27" s="8" t="str">
        <x:v>W-022</x:v>
      </x:c>
      <x:c r="B27" s="8" t="str">
        <x:v>12月</x:v>
      </x:c>
      <x:c r="C27" s="8" t="str">
        <x:v>評価</x:v>
      </x:c>
      <x:c r="D27" s="8" t="str">
        <x:v>EVAL-06/07のデモ・実施準備を確認</x:v>
      </x:c>
      <x:c r="E27" s="11"/>
      <x:c r="F27" s="13" t="d">
        <x:v>2026-12-31T00:00:00.000Z</x:v>
      </x:c>
      <x:c r="G27" s="10"/>
      <x:c r="H27" s="11"/>
      <x:c r="I27" s="11"/>
      <x:c r="J27" s="14"/>
      <x:c r="K27" s="10" t="str">
        <x:v>人間未実施</x:v>
      </x:c>
      <x:c r="L27" s="10" t="str">
        <x:v>役割別手順/準備確認</x:v>
      </x:c>
      <x:c r="M27" s="8" t="str">
        <x:v>https://github.com/ryuki-moro/Nicomaru/issues/21</x:v>
      </x:c>
      <x:c r="N27" s="10"/>
      <x:c r="O27" s="10"/>
      <x:c r="P27" s="10"/>
      <x:c r="Q27" s="8" t="str">
        <x:f>IF(I27="","",I27-F27)</x:f>
      </x:c>
      <x:c r="R27" s="8" t="str">
        <x:f>IF(I27="","未実施/終了未確認",IF(OR(G27="",N27="",O27=""),"担当・証拠・確認者を記入","確認欄あり"))</x:f>
        <x:v>未実施/終了未確認</x:v>
      </x:c>
    </x:row>
    <x:row r="28" ht="55" customHeight="1">
      <x:c r="A28" s="9" t="str">
        <x:v>W-023</x:v>
      </x:c>
      <x:c r="B28" s="9" t="str">
        <x:v>12月</x:v>
      </x:c>
      <x:c r="C28" s="9" t="str">
        <x:v>実装</x:v>
      </x:c>
      <x:c r="D28" s="9" t="str">
        <x:v>不具合修正・差戻し・再試験</x:v>
      </x:c>
      <x:c r="E28" s="11"/>
      <x:c r="F28" s="12" t="d">
        <x:v>2026-12-31T00:00:00.000Z</x:v>
      </x:c>
      <x:c r="G28" s="10"/>
      <x:c r="H28" s="11"/>
      <x:c r="I28" s="11"/>
      <x:c r="J28" s="14"/>
      <x:c r="K28" s="10" t="str">
        <x:v>将来予定</x:v>
      </x:c>
      <x:c r="L28" s="10" t="str">
        <x:v>不具合Issue/修正PR/再試験ID</x:v>
      </x:c>
      <x:c r="M28" s="9" t="str">
        <x:v>https://github.com/ryuki-moro/Nicomaru/issues/60</x:v>
      </x:c>
      <x:c r="N28" s="10"/>
      <x:c r="O28" s="10"/>
      <x:c r="P28" s="10"/>
      <x:c r="Q28" s="9" t="str">
        <x:f>IF(I28="","",I28-F28)</x:f>
      </x:c>
      <x:c r="R28" s="9" t="str">
        <x:f>IF(I28="","未実施/終了未確認",IF(OR(G28="",N28="",O28=""),"担当・証拠・確認者を記入","確認欄あり"))</x:f>
        <x:v>未実施/終了未確認</x:v>
      </x:c>
    </x:row>
    <x:row r="29" ht="55" customHeight="1">
      <x:c r="A29" s="8" t="str">
        <x:v>W-024</x:v>
      </x:c>
      <x:c r="B29" s="8" t="str">
        <x:v>01月</x:v>
      </x:c>
      <x:c r="C29" s="8" t="str">
        <x:v>試験</x:v>
      </x:c>
      <x:c r="D29" s="8" t="str">
        <x:v>最終版を回帰試験し未解決項目を確認</x:v>
      </x:c>
      <x:c r="E29" s="11"/>
      <x:c r="F29" s="13" t="d">
        <x:v>2027-01-31T00:00:00.000Z</x:v>
      </x:c>
      <x:c r="G29" s="10"/>
      <x:c r="H29" s="11"/>
      <x:c r="I29" s="11"/>
      <x:c r="J29" s="14"/>
      <x:c r="K29" s="10" t="str">
        <x:v>将来予定</x:v>
      </x:c>
      <x:c r="L29" s="10" t="str">
        <x:v>確定試験仕様/証拠</x:v>
      </x:c>
      <x:c r="M29" s="8" t="str">
        <x:v>https://github.com/ryuki-moro/Nicomaru/issues/61</x:v>
      </x:c>
      <x:c r="N29" s="10"/>
      <x:c r="O29" s="10"/>
      <x:c r="P29" s="10"/>
      <x:c r="Q29" s="8" t="str">
        <x:f>IF(I29="","",I29-F29)</x:f>
      </x:c>
      <x:c r="R29" s="8" t="str">
        <x:f>IF(I29="","未実施/終了未確認",IF(OR(G29="",N29="",O29=""),"担当・証拠・確認者を記入","確認欄あり"))</x:f>
        <x:v>未実施/終了未確認</x:v>
      </x:c>
    </x:row>
    <x:row r="30" ht="55" customHeight="1">
      <x:c r="A30" s="9" t="str">
        <x:v>W-025</x:v>
      </x:c>
      <x:c r="B30" s="9" t="str">
        <x:v>01月</x:v>
      </x:c>
      <x:c r="C30" s="9" t="str">
        <x:v>評価</x:v>
      </x:c>
      <x:c r="D30" s="9" t="str">
        <x:v>模擬評価の結果と限界をまとめる</x:v>
      </x:c>
      <x:c r="E30" s="11"/>
      <x:c r="F30" s="12" t="d">
        <x:v>2027-01-31T00:00:00.000Z</x:v>
      </x:c>
      <x:c r="G30" s="10"/>
      <x:c r="H30" s="11"/>
      <x:c r="I30" s="11"/>
      <x:c r="J30" s="14"/>
      <x:c r="K30" s="10" t="str">
        <x:v>人間未実施</x:v>
      </x:c>
      <x:c r="L30" s="10" t="str">
        <x:v>EVAL-08報告</x:v>
      </x:c>
      <x:c r="M30" s="9" t="str">
        <x:v>https://github.com/ryuki-moro/Nicomaru/issues/21</x:v>
      </x:c>
      <x:c r="N30" s="10"/>
      <x:c r="O30" s="10"/>
      <x:c r="P30" s="10"/>
      <x:c r="Q30" s="9" t="str">
        <x:f>IF(I30="","",I30-F30)</x:f>
      </x:c>
      <x:c r="R30" s="9" t="str">
        <x:f>IF(I30="","未実施/終了未確認",IF(OR(G30="",N30="",O30=""),"担当・証拠・確認者を記入","確認欄あり"))</x:f>
        <x:v>未実施/終了未確認</x:v>
      </x:c>
    </x:row>
    <x:row r="31" ht="55" customHeight="1">
      <x:c r="A31" s="8" t="str">
        <x:v>W-026</x:v>
      </x:c>
      <x:c r="B31" s="8" t="str">
        <x:v>01月</x:v>
      </x:c>
      <x:c r="C31" s="8" t="str">
        <x:v>発表</x:v>
      </x:c>
      <x:c r="D31" s="8" t="str">
        <x:v>最終発表資料/台本/停止時の代替手順を作成</x:v>
      </x:c>
      <x:c r="E31" s="11"/>
      <x:c r="F31" s="13" t="d">
        <x:v>2027-01-31T00:00:00.000Z</x:v>
      </x:c>
      <x:c r="G31" s="10"/>
      <x:c r="H31" s="11"/>
      <x:c r="I31" s="11"/>
      <x:c r="J31" s="14"/>
      <x:c r="K31" s="10" t="str">
        <x:v>将来予定</x:v>
      </x:c>
      <x:c r="L31" s="10" t="str">
        <x:v>最終発表資料</x:v>
      </x:c>
      <x:c r="M31" s="8" t="str">
        <x:v>https://github.com/ryuki-moro/Nicomaru/issues/62</x:v>
      </x:c>
      <x:c r="N31" s="10"/>
      <x:c r="O31" s="10"/>
      <x:c r="P31" s="10"/>
      <x:c r="Q31" s="8" t="str">
        <x:f>IF(I31="","",I31-F31)</x:f>
      </x:c>
      <x:c r="R31" s="8" t="str">
        <x:f>IF(I31="","未実施/終了未確認",IF(OR(G31="",N31="",O31=""),"担当・証拠・確認者を記入","確認欄あり"))</x:f>
        <x:v>未実施/終了未確認</x:v>
      </x:c>
    </x:row>
    <x:row r="32" ht="55" customHeight="1">
      <x:c r="A32" s="9" t="str">
        <x:v>W-027</x:v>
      </x:c>
      <x:c r="B32" s="9" t="str">
        <x:v>01月</x:v>
      </x:c>
      <x:c r="C32" s="9" t="str">
        <x:v>実装</x:v>
      </x:c>
      <x:c r="D32" s="9" t="str">
        <x:v>最終ソースcommit・起動手順を固定</x:v>
      </x:c>
      <x:c r="E32" s="11"/>
      <x:c r="F32" s="12" t="d">
        <x:v>2027-01-31T00:00:00.000Z</x:v>
      </x:c>
      <x:c r="G32" s="10"/>
      <x:c r="H32" s="11"/>
      <x:c r="I32" s="11"/>
      <x:c r="J32" s="14"/>
      <x:c r="K32" s="10" t="str">
        <x:v>将来予定</x:v>
      </x:c>
      <x:c r="L32" s="10" t="str">
        <x:v>タグ/commit/README</x:v>
      </x:c>
      <x:c r="M32" s="9" t="str">
        <x:v>https://github.com/ryuki-moro/Nicomaru/issues/63</x:v>
      </x:c>
      <x:c r="N32" s="10"/>
      <x:c r="O32" s="10"/>
      <x:c r="P32" s="10"/>
      <x:c r="Q32" s="9" t="str">
        <x:f>IF(I32="","",I32-F32)</x:f>
      </x:c>
      <x:c r="R32" s="9" t="str">
        <x:f>IF(I32="","未実施/終了未確認",IF(OR(G32="",N32="",O32=""),"担当・証拠・確認者を記入","確認欄あり"))</x:f>
        <x:v>未実施/終了未確認</x:v>
      </x:c>
    </x:row>
    <x:row r="33" ht="55" customHeight="1">
      <x:c r="A33" s="8" t="str">
        <x:v>W-028</x:v>
      </x:c>
      <x:c r="B33" s="8" t="str">
        <x:v>01月</x:v>
      </x:c>
      <x:c r="C33" s="8" t="str">
        <x:v>発表</x:v>
      </x:c>
      <x:c r="D33" s="8" t="str">
        <x:v>最終デモの通しリハーサル</x:v>
      </x:c>
      <x:c r="E33" s="11"/>
      <x:c r="F33" s="13" t="d">
        <x:v>2027-01-31T00:00:00.000Z</x:v>
      </x:c>
      <x:c r="G33" s="10"/>
      <x:c r="H33" s="11"/>
      <x:c r="I33" s="11"/>
      <x:c r="J33" s="14"/>
      <x:c r="K33" s="10" t="str">
        <x:v>人間未実施</x:v>
      </x:c>
      <x:c r="L33" s="10" t="str">
        <x:v>リハーサル記録</x:v>
      </x:c>
      <x:c r="M33" s="8" t="str">
        <x:v>https://github.com/ryuki-moro/Nicomaru/issues/62</x:v>
      </x:c>
      <x:c r="N33" s="10"/>
      <x:c r="O33" s="10"/>
      <x:c r="P33" s="10"/>
      <x:c r="Q33" s="8" t="str">
        <x:f>IF(I33="","",I33-F33)</x:f>
      </x:c>
      <x:c r="R33" s="8" t="str">
        <x:f>IF(I33="","未実施/終了未確認",IF(OR(G33="",N33="",O33=""),"担当・証拠・確認者を記入","確認欄あり"))</x:f>
        <x:v>未実施/終了未確認</x:v>
      </x:c>
    </x:row>
    <x:row r="34" ht="55" customHeight="1">
      <x:c r="A34" s="9" t="str">
        <x:v>W-029</x:v>
      </x:c>
      <x:c r="B34" s="9" t="str">
        <x:v>02月</x:v>
      </x:c>
      <x:c r="C34" s="9" t="str">
        <x:v>発表</x:v>
      </x:c>
      <x:c r="D34" s="9" t="str">
        <x:v>学校の最終発表・デモを実施</x:v>
      </x:c>
      <x:c r="E34" s="11"/>
      <x:c r="F34" s="12" t="d">
        <x:v>2027-02-28T00:00:00.000Z</x:v>
      </x:c>
      <x:c r="G34" s="10"/>
      <x:c r="H34" s="11"/>
      <x:c r="I34" s="11"/>
      <x:c r="J34" s="14"/>
      <x:c r="K34" s="10" t="str">
        <x:v>人間未実施</x:v>
      </x:c>
      <x:c r="L34" s="10" t="str">
        <x:v>実施日/発表記録/指摘</x:v>
      </x:c>
      <x:c r="M34" s="9" t="str">
        <x:v>https://github.com/ryuki-moro/Nicomaru/issues/64</x:v>
      </x:c>
      <x:c r="N34" s="10"/>
      <x:c r="O34" s="10"/>
      <x:c r="P34" s="10"/>
      <x:c r="Q34" s="9" t="str">
        <x:f>IF(I34="","",I34-F34)</x:f>
      </x:c>
      <x:c r="R34" s="9" t="str">
        <x:f>IF(I34="","未実施/終了未確認",IF(OR(G34="",N34="",O34=""),"担当・証拠・確認者を記入","確認欄あり"))</x:f>
        <x:v>未実施/終了未確認</x:v>
      </x:c>
    </x:row>
    <x:row r="35" ht="55" customHeight="1">
      <x:c r="A35" s="8" t="str">
        <x:v>W-030</x:v>
      </x:c>
      <x:c r="B35" s="8" t="str">
        <x:v>02月</x:v>
      </x:c>
      <x:c r="C35" s="8" t="str">
        <x:v>管理</x:v>
      </x:c>
      <x:c r="D35" s="8" t="str">
        <x:v>全員が実績・時間・成果物を照合</x:v>
      </x:c>
      <x:c r="E35" s="11"/>
      <x:c r="F35" s="13" t="d">
        <x:v>2027-02-28T00:00:00.000Z</x:v>
      </x:c>
      <x:c r="G35" s="10"/>
      <x:c r="H35" s="11"/>
      <x:c r="I35" s="11"/>
      <x:c r="J35" s="14"/>
      <x:c r="K35" s="10" t="str">
        <x:v>人間未実施</x:v>
      </x:c>
      <x:c r="L35" s="10" t="str">
        <x:v>本人確認済みWBS</x:v>
      </x:c>
      <x:c r="M35" s="8" t="str">
        <x:v>https://github.com/ryuki-moro/Nicomaru/issues/65</x:v>
      </x:c>
      <x:c r="N35" s="10"/>
      <x:c r="O35" s="10"/>
      <x:c r="P35" s="10"/>
      <x:c r="Q35" s="8" t="str">
        <x:f>IF(I35="","",I35-F35)</x:f>
      </x:c>
      <x:c r="R35" s="8" t="str">
        <x:f>IF(I35="","未実施/終了未確認",IF(OR(G35="",N35="",O35=""),"担当・証拠・確認者を記入","確認欄あり"))</x:f>
        <x:v>未実施/終了未確認</x:v>
      </x:c>
    </x:row>
    <x:row r="36" ht="55" customHeight="1">
      <x:c r="A36" s="9" t="str">
        <x:v>W-031</x:v>
      </x:c>
      <x:c r="B36" s="9" t="str">
        <x:v>02月</x:v>
      </x:c>
      <x:c r="C36" s="9" t="str">
        <x:v>管理</x:v>
      </x:c>
      <x:c r="D36" s="9" t="str">
        <x:v>学校指定形式へ転記しWBSを提出</x:v>
      </x:c>
      <x:c r="E36" s="11"/>
      <x:c r="F36" s="12" t="d">
        <x:v>2027-02-28T00:00:00.000Z</x:v>
      </x:c>
      <x:c r="G36" s="10"/>
      <x:c r="H36" s="11"/>
      <x:c r="I36" s="11"/>
      <x:c r="J36" s="14"/>
      <x:c r="K36" s="10" t="str">
        <x:v>人間未実施</x:v>
      </x:c>
      <x:c r="L36" s="10" t="str">
        <x:v>提出版/提出記録</x:v>
      </x:c>
      <x:c r="M36" s="9" t="str">
        <x:v>https://github.com/ryuki-moro/Nicomaru/issues/65</x:v>
      </x:c>
      <x:c r="N36" s="10"/>
      <x:c r="O36" s="10"/>
      <x:c r="P36" s="10"/>
      <x:c r="Q36" s="9" t="str">
        <x:f>IF(I36="","",I36-F36)</x:f>
      </x:c>
      <x:c r="R36" s="9" t="str">
        <x:f>IF(I36="","未実施/終了未確認",IF(OR(G36="",N36="",O36=""),"担当・証拠・確認者を記入","確認欄あり"))</x:f>
        <x:v>未実施/終了未確認</x:v>
      </x:c>
    </x:row>
    <x:row r="37" ht="92" customHeight="1">
      <x:c r="A37" s="8" t="str">
        <x:v>W-032</x:v>
      </x:c>
      <x:c r="B37" s="8" t="str">
        <x:v>10月</x:v>
      </x:c>
      <x:c r="C37" s="8" t="str">
        <x:v>実装</x:v>
      </x:c>
      <x:c r="D37" s="8" t="str">
        <x:v>通知CSVの期間指定・ページング・画面対応</x:v>
      </x:c>
      <x:c r="E37" s="11"/>
      <x:c r="F37" s="13" t="d">
        <x:v>2026-10-31T00:00:00.000Z</x:v>
      </x:c>
      <x:c r="G37" s="10"/>
      <x:c r="H37" s="11"/>
      <x:c r="I37" s="11"/>
      <x:c r="J37" s="14"/>
      <x:c r="K37" s="10" t="str">
        <x:v>確認済みコード記録</x:v>
      </x:c>
      <x:c r="L37" s="10" t="str">
        <x:v>通知CSV API・入力フォーム・回帰テスト</x:v>
      </x:c>
      <x:c r="M37" s="8" t="str">
        <x:v>https://github.com/ryuki-moro/Nicomaru/issues/116</x:v>
      </x:c>
      <x:c r="N37" s="10" t="str">
        <x:v>https://github.com/ryuki-moro/Nicomaru/commit/e8991d6</x:v>
      </x:c>
      <x:c r="O37" s="10"/>
      <x:c r="P37" s="10" t="str">
        <x:v>commit記録: 10/6: e8991d6,2fbe2ed,1cfb7d9。本人の実績日・時間・確認者は未確認。</x:v>
      </x:c>
      <x:c r="Q37" s="8" t="str">
        <x:f>IF(I37="","",I37-F37)</x:f>
      </x:c>
      <x:c r="R37" s="8" t="str">
        <x:f>IF(I37="","未実施/終了未確認",IF(OR(G37="",N37="",O37=""),"担当・証拠・確認者を記入","確認者と照合"))</x:f>
        <x:v>未実施/終了未確認</x:v>
      </x:c>
    </x:row>
    <x:row r="38" ht="92" customHeight="1">
      <x:c r="A38" s="8" t="str">
        <x:v>W-033</x:v>
      </x:c>
      <x:c r="B38" s="8" t="str">
        <x:v>10月</x:v>
      </x:c>
      <x:c r="C38" s="8" t="str">
        <x:v>実装</x:v>
      </x:c>
      <x:c r="D38" s="8" t="str">
        <x:v>式場プレビュー認証・接続タイムアウトを修正</x:v>
      </x:c>
      <x:c r="E38" s="11"/>
      <x:c r="F38" s="13" t="d">
        <x:v>2026-10-31T00:00:00.000Z</x:v>
      </x:c>
      <x:c r="G38" s="10"/>
      <x:c r="H38" s="11"/>
      <x:c r="I38" s="11"/>
      <x:c r="J38" s="14"/>
      <x:c r="K38" s="10" t="str">
        <x:v>確認済みコード記録</x:v>
      </x:c>
      <x:c r="L38" s="10" t="str">
        <x:v>プレビュー認証と接続タイムアウト修正</x:v>
      </x:c>
      <x:c r="M38" s="8" t="str">
        <x:v>https://github.com/ryuki-moro/Nicomaru/issues/116</x:v>
      </x:c>
      <x:c r="N38" s="10" t="str">
        <x:v>https://github.com/ryuki-moro/Nicomaru/commit/ae62a53</x:v>
      </x:c>
      <x:c r="O38" s="10"/>
      <x:c r="P38" s="10" t="str">
        <x:v>commit記録: 10/8: ae62a53,6076dd0。本人の実績日・時間・確認者は未確認。</x:v>
      </x:c>
      <x:c r="Q38" s="8" t="str">
        <x:f>IF(I38="","",I38-F38)</x:f>
      </x:c>
      <x:c r="R38" s="8" t="str">
        <x:f>IF(I38="","未実施/終了未確認",IF(OR(G38="",N38="",O38=""),"担当・証拠・確認者を記入","確認者と照合"))</x:f>
        <x:v>未実施/終了未確認</x:v>
      </x:c>
    </x:row>
  </x:sheetData>
  <x:mergeCells>
    <x:mergeCell ref="A2:F2"/>
    <x:mergeCell ref="A3:F3"/>
  </x:mergeCells>
  <x:dataValidations count="2">
    <x:dataValidation type="list" sqref="K6:K36">
      <x:formula1>"将来予定,人間未実施,本人入力,実装担当,メンバー確認,チーム確認,確認済みコード記録,進行中,完了,保留,中止"</x:formula1>
    </x:dataValidation>
    <x:dataValidation type="list" sqref="K37:K38">
      <x:formula1>"将来予定,人間未実施,本人入力,実装担当,メンバー確認,チーム確認,確認済みコード記録,進行中,完了,保留,中止"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31e178b3a24da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52" hidden="0" customWidth="1"/>
    <x:col min="3" max="3" width="95" hidden="0" customWidth="1"/>
    <x:col min="4" max="4" width="85" hidden="0" customWidth="1"/>
  </x:cols>
  <x:sheetData>
    <x:row r="1">
      <x:c r="A1" s="1"/>
      <x:c r="B1" s="1"/>
      <x:c r="C1" s="1"/>
      <x:c r="D1" s="1"/>
    </x:row>
    <x:row r="2" ht="30" customHeight="1">
      <x:c r="A2" s="2" t="str">
        <x:v>WBSの記録根拠</x:v>
      </x:c>
      <x:c r="B2" s="1"/>
      <x:c r="C2" s="1"/>
      <x:c r="D2" s="1"/>
    </x:row>
    <x:row r="3" ht="24" customHeight="1">
      <x:c r="A3" s="1" t="str">
        <x:v>作成基準 2026-10-09。仕様と記録の対応を確認するための参照表。</x:v>
      </x:c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6" t="str">
        <x:v>種類</x:v>
      </x:c>
      <x:c r="B5" s="6" t="str">
        <x:v>基準/識別子</x:v>
      </x:c>
      <x:c r="C5" s="6" t="str">
        <x:v>意味・確認範囲</x:v>
      </x:c>
      <x:c r="D5" s="6" t="str">
        <x:v>参照</x:v>
      </x:c>
    </x:row>
    <x:row r="6" ht="34" customHeight="1">
      <x:c r="A6" s="9" t="str">
        <x:v>スケジュール</x:v>
      </x:c>
      <x:c r="B6" s="9" t="str">
        <x:v>2026-10〜2027-02</x:v>
      </x:c>
      <x:c r="C6" s="9" t="str">
        <x:v>学校の最終発表/デモ。本番運用の予定なし</x:v>
      </x:c>
      <x:c r="D6" s="9" t="str">
        <x:v>docs/学校制作スケジュール.md</x:v>
      </x:c>
    </x:row>
    <x:row r="7" ht="34" customHeight="1">
      <x:c r="A7" s="8" t="str">
        <x:v>WBS要件</x:v>
      </x:c>
      <x:c r="B7" s="8" t="str">
        <x:v>Issue #65</x:v>
      </x:c>
      <x:c r="C7" s="8" t="str">
        <x:v>本人の時間を確認し、未実施の仕事へ架空実績を付けない</x:v>
      </x:c>
      <x:c r="D7" s="8" t="str">
        <x:v>https://github.com/ryuki-moro/Nicomaru/issues/65</x:v>
      </x:c>
    </x:row>
    <x:row r="8" ht="34" customHeight="1">
      <x:c r="A8" s="9" t="str">
        <x:v>試験仕様要件</x:v>
      </x:c>
      <x:c r="B8" s="9" t="str">
        <x:v>Issue #59</x:v>
      </x:c>
      <x:c r="C8" s="9" t="str">
        <x:v>コア44/条件付き5と共通要件を対応付ける</x:v>
      </x:c>
      <x:c r="D8" s="9" t="str">
        <x:v>https://github.com/ryuki-moro/Nicomaru/issues/59</x:v>
      </x:c>
    </x:row>
    <x:row r="9" ht="34" customHeight="1">
      <x:c r="A9" s="8" t="str">
        <x:v>コード基準</x:v>
      </x:c>
      <x:c r="B9" s="8" t="str">
        <x:v>24c374f13d1b3e0c8e54fd268232bd45dd26bb83</x:v>
      </x:c>
      <x:c r="C9" s="8" t="str">
        <x:v>作成時HEAD。今回の未コミット実装を含む最終試験対象版は実施時に入力</x:v>
      </x:c>
      <x:c r="D9" s="8" t="str">
        <x:v>https://github.com/ryuki-moro/Nicomaru</x:v>
      </x:c>
    </x:row>
    <x:row r="10" ht="64" customHeight="1">
      <x:c r="A10" s="9" t="str">
        <x:v>確認済み出来事</x:v>
      </x:c>
      <x:c r="B10" s="9" t="str">
        <x:v>66cdede / 2026-10-09</x:v>
      </x:c>
      <x:c r="C10" s="9" t="str">
        <x:v>10/9はcommit作成日。本人実績日は未確認のためWBS実績終了欄は空欄。</x:v>
      </x:c>
      <x:c r="D10" s="9" t="str">
        <x:v>https://github.com/ryuki-moro/Nicomaru/commit/66cdede</x:v>
      </x:c>
    </x:row>
    <x:row r="11" ht="64" customHeight="1">
      <x:c r="A11" s="8" t="str">
        <x:v>確認済み出来事</x:v>
      </x:c>
      <x:c r="B11" s="8" t="str">
        <x:v>99c1e6f / 2026-10-09</x:v>
      </x:c>
      <x:c r="C11" s="8" t="str">
        <x:v>10/9はcommit作成日。本人実績日は未確認のためWBS実績終了欄は空欄。</x:v>
      </x:c>
      <x:c r="D11" s="8" t="str">
        <x:v>https://github.com/ryuki-moro/Nicomaru/commit/99c1e6f</x:v>
      </x:c>
    </x:row>
    <x:row r="12" ht="34" customHeight="1">
      <x:c r="A12" s="9" t="str">
        <x:v>記録規則</x:v>
      </x:c>
      <x:c r="B12" s="9" t="str">
        <x:v>時間・担当・承認</x:v>
      </x:c>
      <x:c r="C12" s="9" t="str">
        <x:v>本人と確認者が入力。生成時点で空欄の実績は未確認</x:v>
      </x:c>
      <x:c r="D12" s="9" t="str">
        <x:v>docs/WBS/README.md</x:v>
      </x:c>
    </x:row>
    <x:row r="13">
      <x:c r="A13" s="1"/>
      <x:c r="B13" s="1"/>
      <x:c r="C13" s="1"/>
      <x:c r="D13" s="1"/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d943c18c18584004"/>
  </x:tableParts>
</x:worksheet>
</file>