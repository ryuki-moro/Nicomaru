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b4dc593b6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試験仕様" sheetId="1" r:id="Rccd5bd0651254775"/>
    <x:sheet xmlns:r="http://schemas.openxmlformats.org/officeDocument/2006/relationships" name="機能対応" sheetId="2" r:id="Rc2b20c7dcb4348ff"/>
    <x:sheet xmlns:r="http://schemas.openxmlformats.org/officeDocument/2006/relationships" name="評価計画" sheetId="3" r:id="Rc052a3c2f47b41e6"/>
    <x:sheet xmlns:r="http://schemas.openxmlformats.org/officeDocument/2006/relationships" name="評価記録" sheetId="4" r:id="Re902d0a5965e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%"/>
    <x:numFmt numFmtId="202" formatCode="yyyy-mm-dd"/>
  </x:numFmts>
  <x:fonts count="4">
    <x:font>
      <x:sz val="11"/>
      <x:name val="Carlito"/>
    </x:font>
    <x:font>
      <x:sz val="10"/>
      <x:color rgb="FF24344B"/>
      <x:name val="Arial"/>
    </x:font>
    <x:font>
      <x:b/>
      <x:sz val="15"/>
      <x:color rgb="FF18315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C"/>
      </x:patternFill>
    </x:fill>
    <x:fill>
      <x:patternFill patternType="solid">
        <x:fgColor rgb="FFF0F4F8"/>
      </x:patternFill>
    </x:fill>
    <x:fill>
      <x:patternFill patternType="solid">
        <x:fgColor rgb="FFFFF4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ed93b817847fc" /><Relationship Type="http://schemas.openxmlformats.org/officeDocument/2006/relationships/theme" Target="/xl/theme/theme1.xml" Id="Rfa6b32a10f2649d6" /><Relationship Type="http://schemas.openxmlformats.org/officeDocument/2006/relationships/sharedStrings" Target="/xl/sharedStrings.xml" Id="Rfe9dd8517760424a" /><Relationship Type="http://schemas.openxmlformats.org/officeDocument/2006/relationships/worksheet" Target="/xl/worksheets/sheet1.xml" Id="Rccd5bd0651254775" /><Relationship Type="http://schemas.openxmlformats.org/officeDocument/2006/relationships/worksheet" Target="/xl/worksheets/sheet2.xml" Id="Rc2b20c7dcb4348ff" /><Relationship Type="http://schemas.openxmlformats.org/officeDocument/2006/relationships/worksheet" Target="/xl/worksheets/sheet3.xml" Id="Rc052a3c2f47b41e6" /><Relationship Type="http://schemas.openxmlformats.org/officeDocument/2006/relationships/worksheet" Target="/xl/worksheets/sheet4.xml" Id="Re902d0a5965e4c77" /></Relationships>
</file>

<file path=xl/tables/table1.xml><?xml version="1.0" encoding="utf-8"?>
<x:table xmlns:x="http://schemas.openxmlformats.org/spreadsheetml/2006/main" id="1" name="Tasks1" displayName="Tasks1" ref="A5:Q116" headerRowCount="1" totalsRowCount="0" totalsRowShown="0">
  <x:tableColumns count="17">
    <x:tableColumn id="1" name="試験ID"/>
    <x:tableColumn id="2" name="機能ID"/>
    <x:tableColumn id="3" name="対象機能"/>
    <x:tableColumn id="4" name="観点"/>
    <x:tableColumn id="5" name="ロール"/>
    <x:tableColumn id="6" name="前提・データ"/>
    <x:tableColumn id="7" name="操作・コマンド"/>
    <x:tableColumn id="8" name="期待結果"/>
    <x:tableColumn id="9" name="対象commit"/>
    <x:tableColumn id="10" name="環境/ブラウザ"/>
    <x:tableColumn id="11" name="担当"/>
    <x:tableColumn id="12" name="確認者"/>
    <x:tableColumn id="13" name="実施日時"/>
    <x:tableColumn id="14" name="結果"/>
    <x:tableColumn id="15" name="実際の結果"/>
    <x:tableColumn id="16" name="証拠/不具合Issue"/>
    <x:tableColumn id="17" name="仕様・コード参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2" displayName="Tasks2" ref="A5:H54" headerRowCount="1" totalsRowCount="0" totalsRowShown="0">
  <x:tableColumns count="8">
    <x:tableColumn id="1" name="機能ID"/>
    <x:tableColumn id="2" name="機能名"/>
    <x:tableColumn id="3" name="区分"/>
    <x:tableColumn id="4" name="対応試験数"/>
    <x:tableColumn id="5" name="合格数"/>
    <x:tableColumn id="6" name="実施判定"/>
    <x:tableColumn id="7" name="画面ID"/>
    <x:tableColumn id="8" name="条件・実施範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s3" displayName="Tasks3" ref="A5:E13" headerRowCount="1" totalsRowCount="0" totalsRowShown="0">
  <x:tableColumns count="5">
    <x:tableColumn id="1" name="評価ID"/>
    <x:tableColumn id="2" name="項目"/>
    <x:tableColumn id="3" name="手順"/>
    <x:tableColumn id="4" name="記録する値"/>
    <x:tableColumn id="5" name="集計・解釈の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sks4" displayName="Tasks4" ref="A5:N45" headerRowCount="1" totalsRowCount="0" totalsRowShown="0">
  <x:tableColumns count="14">
    <x:tableColumn id="1" name="記録ID"/>
    <x:tableColumn id="2" name="評価ID"/>
    <x:tableColumn id="3" name="参加者/案件ID"/>
    <x:tableColumn id="4" name="シナリオ・測定対象"/>
    <x:tableColumn id="5" name="対象commit/環境"/>
    <x:tableColumn id="6" name="基準値/期待値"/>
    <x:tableColumn id="7" name="実測値/判定"/>
    <x:tableColumn id="8" name="分母（件）"/>
    <x:tableColumn id="9" name="分子（件）"/>
    <x:tableColumn id="10" name="比率"/>
    <x:tableColumn id="11" name="所見・制約"/>
    <x:tableColumn id="12" name="実施者/確認者"/>
    <x:tableColumn id="13" name="実施日"/>
    <x:tableColumn id="14" name="証拠/改善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a9030b613145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f9856ca6404f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535842aa9b4c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471a414a0946e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3" hidden="0" customWidth="1"/>
    <x:col min="3" max="3" width="27" hidden="0" customWidth="1"/>
    <x:col min="4" max="4" width="14" hidden="0" customWidth="1"/>
    <x:col min="5" max="5" width="20" hidden="0" customWidth="1"/>
    <x:col min="6" max="6" width="37" hidden="0" customWidth="1"/>
    <x:col min="7" max="7" width="49" hidden="0" customWidth="1"/>
    <x:col min="8" max="8" width="49" hidden="0" customWidth="1"/>
    <x:col min="9" max="9" width="20" hidden="0" customWidth="1"/>
    <x:col min="10" max="10" width="24" hidden="0" customWidth="1"/>
    <x:col min="11" max="11" width="14" hidden="0" customWidth="1"/>
    <x:col min="12" max="12" width="14" hidden="0" customWidth="1"/>
    <x:col min="13" max="13" width="20" hidden="0" customWidth="1"/>
    <x:col min="14" max="14" width="15" hidden="0" customWidth="1"/>
    <x:col min="15" max="15" width="35" hidden="0" customWidth="1"/>
    <x:col min="16" max="16" width="35" hidden="0" customWidth="1"/>
    <x:col min="17" max="17" width="4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30" customHeight="1">
      <x:c r="A2" s="2" t="str">
        <x:v>にこまる テスト仕様書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4" customHeight="1">
      <x:c r="A3" s="1" t="str">
        <x:v>作成基準 2026-10-09。黄色の欄に実施者が入力。未実施の結果・時間は空欄。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0" customHeight="1">
      <x:c r="A5" s="6" t="str">
        <x:v>試験ID</x:v>
      </x:c>
      <x:c r="B5" s="6" t="str">
        <x:v>機能ID</x:v>
      </x:c>
      <x:c r="C5" s="6" t="str">
        <x:v>対象機能</x:v>
      </x:c>
      <x:c r="D5" s="6" t="str">
        <x:v>観点</x:v>
      </x:c>
      <x:c r="E5" s="6" t="str">
        <x:v>ロール</x:v>
      </x:c>
      <x:c r="F5" s="6" t="str">
        <x:v>前提・データ</x:v>
      </x:c>
      <x:c r="G5" s="6" t="str">
        <x:v>操作・コマンド</x:v>
      </x:c>
      <x:c r="H5" s="6" t="str">
        <x:v>期待結果</x:v>
      </x:c>
      <x:c r="I5" s="6" t="str">
        <x:v>対象commit</x:v>
      </x:c>
      <x:c r="J5" s="6" t="str">
        <x:v>環境/ブラウザ</x:v>
      </x:c>
      <x:c r="K5" s="6" t="str">
        <x:v>担当</x:v>
      </x:c>
      <x:c r="L5" s="6" t="str">
        <x:v>確認者</x:v>
      </x:c>
      <x:c r="M5" s="6" t="str">
        <x:v>実施日時</x:v>
      </x:c>
      <x:c r="N5" s="6" t="str">
        <x:v>結果</x:v>
      </x:c>
      <x:c r="O5" s="6" t="str">
        <x:v>実際の結果</x:v>
      </x:c>
      <x:c r="P5" s="6" t="str">
        <x:v>証拠/不具合Issue</x:v>
      </x:c>
      <x:c r="Q5" s="6" t="str">
        <x:v>仕様・コード参照</x:v>
      </x:c>
    </x:row>
    <x:row r="6" ht="55" customHeight="1">
      <x:c r="A6" s="9" t="str">
        <x:v>TC-F-1-1-N</x:v>
      </x:c>
      <x:c r="B6" s="9" t="str">
        <x:v>F-1-1</x:v>
      </x:c>
      <x:c r="C6" s="9" t="str">
        <x:v>招待URLの発行・再発行・送付</x:v>
      </x:c>
      <x:c r="D6" s="9" t="str">
        <x:v>正常</x:v>
      </x:c>
      <x:c r="E6" s="9" t="str">
        <x:v>planner</x:v>
      </x:c>
      <x:c r="F6" s="9" t="str">
        <x:v>担当案件と未使用招待</x:v>
      </x:c>
      <x:c r="G6" s="9" t="str">
        <x:v>新郎の招待を発行し、再発行後に旧URLを開く</x:v>
      </x:c>
      <x:c r="H6" s="9" t="str">
        <x:v>新URLを取得でき旧URLは失効する</x:v>
      </x:c>
      <x:c r="I6" s="10"/>
      <x:c r="J6" s="10"/>
      <x:c r="K6" s="10"/>
      <x:c r="L6" s="10"/>
      <x:c r="M6" s="11"/>
      <x:c r="N6" s="10"/>
      <x:c r="O6" s="10"/>
      <x:c r="P6" s="10"/>
      <x:c r="Q6" s="9" t="str">
        <x:v>src/lib/services/invitations.ts
src/app/(staff)/cases/[caseId]/InvitationSection.tsx</x:v>
      </x:c>
    </x:row>
    <x:row r="7" ht="55" customHeight="1">
      <x:c r="A7" s="8" t="str">
        <x:v>TC-F-1-1-A</x:v>
      </x:c>
      <x:c r="B7" s="8" t="str">
        <x:v>F-1-1</x:v>
      </x:c>
      <x:c r="C7" s="8" t="str">
        <x:v>招待URLの発行・再発行・送付</x:v>
      </x:c>
      <x:c r="D7" s="8" t="str">
        <x:v>異常/境界</x:v>
      </x:c>
      <x:c r="E7" s="8" t="str">
        <x:v>planner</x:v>
      </x:c>
      <x:c r="F7" s="8" t="str">
        <x:v>担当案件と未使用招待</x:v>
      </x:c>
      <x:c r="G7" s="8" t="str">
        <x:v>期限切れ招待を送付しようとする</x:v>
      </x:c>
      <x:c r="H7" s="8" t="str">
        <x:v>期限切れを表示し再発行へ誘導する</x:v>
      </x:c>
      <x:c r="I7" s="10"/>
      <x:c r="J7" s="10"/>
      <x:c r="K7" s="10"/>
      <x:c r="L7" s="10"/>
      <x:c r="M7" s="11"/>
      <x:c r="N7" s="10"/>
      <x:c r="O7" s="10"/>
      <x:c r="P7" s="10"/>
      <x:c r="Q7" s="8" t="str">
        <x:v>src/lib/services/invitations.ts
src/app/(staff)/cases/[caseId]/InvitationSection.tsx</x:v>
      </x:c>
    </x:row>
    <x:row r="8" ht="70" customHeight="1">
      <x:c r="A8" s="9" t="str">
        <x:v>TC-F-1-2-N</x:v>
      </x:c>
      <x:c r="B8" s="9" t="str">
        <x:v>F-1-2</x:v>
      </x:c>
      <x:c r="C8" s="9" t="str">
        <x:v>招待URLから初回登録</x:v>
      </x:c>
      <x:c r="D8" s="9" t="str">
        <x:v>正常</x:v>
      </x:c>
      <x:c r="E8" s="9" t="str">
        <x:v>couple</x:v>
      </x:c>
      <x:c r="F8" s="9" t="str">
        <x:v>未使用の本人向け模擬招待</x:v>
      </x:c>
      <x:c r="G8" s="9" t="str">
        <x:v>招待URLでメール/氏名/同意を入力し登録する</x:v>
      </x:c>
      <x:c r="H8" s="9" t="str">
        <x:v>招待に対応する案件へ紐づく</x:v>
      </x:c>
      <x:c r="I8" s="10"/>
      <x:c r="J8" s="10"/>
      <x:c r="K8" s="10"/>
      <x:c r="L8" s="10"/>
      <x:c r="M8" s="11"/>
      <x:c r="N8" s="10"/>
      <x:c r="O8" s="10"/>
      <x:c r="P8" s="10"/>
      <x:c r="Q8" s="9" t="str">
        <x:v>src/app/api/auth/initial-register/route.ts
src/app/(public)/register/[token]/RegisterForm.tsx</x:v>
      </x:c>
    </x:row>
    <x:row r="9" ht="70" customHeight="1">
      <x:c r="A9" s="8" t="str">
        <x:v>TC-F-1-2-A</x:v>
      </x:c>
      <x:c r="B9" s="8" t="str">
        <x:v>F-1-2</x:v>
      </x:c>
      <x:c r="C9" s="8" t="str">
        <x:v>招待URLから初回登録</x:v>
      </x:c>
      <x:c r="D9" s="8" t="str">
        <x:v>異常/境界</x:v>
      </x:c>
      <x:c r="E9" s="8" t="str">
        <x:v>couple</x:v>
      </x:c>
      <x:c r="F9" s="8" t="str">
        <x:v>未使用の本人向け模擬招待</x:v>
      </x:c>
      <x:c r="G9" s="8" t="str">
        <x:v>同意なし・別宛先・同じ招待で再登録する</x:v>
      </x:c>
      <x:c r="H9" s="8" t="str">
        <x:v>登録されず理由を表示する</x:v>
      </x:c>
      <x:c r="I9" s="10"/>
      <x:c r="J9" s="10"/>
      <x:c r="K9" s="10"/>
      <x:c r="L9" s="10"/>
      <x:c r="M9" s="11"/>
      <x:c r="N9" s="10"/>
      <x:c r="O9" s="10"/>
      <x:c r="P9" s="10"/>
      <x:c r="Q9" s="8" t="str">
        <x:v>src/app/api/auth/initial-register/route.ts
src/app/(public)/register/[token]/RegisterForm.tsx</x:v>
      </x:c>
    </x:row>
    <x:row r="10" ht="40" customHeight="1">
      <x:c r="A10" s="9" t="str">
        <x:v>TC-F-1-3-N</x:v>
      </x:c>
      <x:c r="B10" s="9" t="str">
        <x:v>F-1-3</x:v>
      </x:c>
      <x:c r="C10" s="9" t="str">
        <x:v>LINEアカウント紐付け</x:v>
      </x:c>
      <x:c r="D10" s="9" t="str">
        <x:v>正常</x:v>
      </x:c>
      <x:c r="E10" s="9" t="str">
        <x:v>couple</x:v>
      </x:c>
      <x:c r="F10" s="9" t="str">
        <x:v>LINE模擬Webhook/署名fixture</x:v>
      </x:c>
      <x:c r="G10" s="9" t="str">
        <x:v>本人画面から連携nonceを発行し署名済みイベントを適用</x:v>
      </x:c>
      <x:c r="H10" s="9" t="str">
        <x:v>nonceが1回だけ消費され本人に紐づく</x:v>
      </x:c>
      <x:c r="I10" s="10"/>
      <x:c r="J10" s="10"/>
      <x:c r="K10" s="10"/>
      <x:c r="L10" s="10"/>
      <x:c r="M10" s="11"/>
      <x:c r="N10" s="10"/>
      <x:c r="O10" s="10"/>
      <x:c r="P10" s="10"/>
      <x:c r="Q10" s="9" t="str">
        <x:v>src/app/api/line/link/route.ts
src/app/api/line/webhook/route.ts</x:v>
      </x:c>
    </x:row>
    <x:row r="11" ht="40" customHeight="1">
      <x:c r="A11" s="8" t="str">
        <x:v>TC-F-1-3-A</x:v>
      </x:c>
      <x:c r="B11" s="8" t="str">
        <x:v>F-1-3</x:v>
      </x:c>
      <x:c r="C11" s="8" t="str">
        <x:v>LINEアカウント紐付け</x:v>
      </x:c>
      <x:c r="D11" s="8" t="str">
        <x:v>異常/境界</x:v>
      </x:c>
      <x:c r="E11" s="8" t="str">
        <x:v>couple</x:v>
      </x:c>
      <x:c r="F11" s="8" t="str">
        <x:v>LINE模擬Webhook/署名fixture</x:v>
      </x:c>
      <x:c r="G11" s="8" t="str">
        <x:v>署名不正・期限切れ・別人nonceを送る</x:v>
      </x:c>
      <x:c r="H11" s="8" t="str">
        <x:v>更新を拒否し他人へ紐づかない</x:v>
      </x:c>
      <x:c r="I11" s="10"/>
      <x:c r="J11" s="10"/>
      <x:c r="K11" s="10"/>
      <x:c r="L11" s="10"/>
      <x:c r="M11" s="11"/>
      <x:c r="N11" s="10"/>
      <x:c r="O11" s="10"/>
      <x:c r="P11" s="10"/>
      <x:c r="Q11" s="8" t="str">
        <x:v>src/app/api/line/link/route.ts
src/app/api/line/webhook/route.ts</x:v>
      </x:c>
    </x:row>
    <x:row r="12" ht="55" customHeight="1">
      <x:c r="A12" s="9" t="str">
        <x:v>TC-F-1-4-N</x:v>
      </x:c>
      <x:c r="B12" s="9" t="str">
        <x:v>F-1-4</x:v>
      </x:c>
      <x:c r="C12" s="9" t="str">
        <x:v>ログイン・認証後の役割別遷移</x:v>
      </x:c>
      <x:c r="D12" s="9" t="str">
        <x:v>正常</x:v>
      </x:c>
      <x:c r="E12" s="9" t="str">
        <x:v>全ロール</x:v>
      </x:c>
      <x:c r="F12" s="9" t="str">
        <x:v>4ロールの模擬アカウント</x:v>
      </x:c>
      <x:c r="G12" s="9" t="str">
        <x:v>各ロールでログインする</x:v>
      </x:c>
      <x:c r="H12" s="9" t="str">
        <x:v>coupleはmypage、staffは権限別の開始画面</x:v>
      </x:c>
      <x:c r="I12" s="10"/>
      <x:c r="J12" s="10"/>
      <x:c r="K12" s="10"/>
      <x:c r="L12" s="10"/>
      <x:c r="M12" s="11"/>
      <x:c r="N12" s="10"/>
      <x:c r="O12" s="10"/>
      <x:c r="P12" s="10"/>
      <x:c r="Q12" s="9" t="str">
        <x:v>src/app/(public)/login/LoginForm.tsx
src/app/api/auth/otp-request/route.ts
src/app/api/auth/otp-verify/route.ts</x:v>
      </x:c>
    </x:row>
    <x:row r="13" ht="55" customHeight="1">
      <x:c r="A13" s="8" t="str">
        <x:v>TC-F-1-4-A</x:v>
      </x:c>
      <x:c r="B13" s="8" t="str">
        <x:v>F-1-4</x:v>
      </x:c>
      <x:c r="C13" s="8" t="str">
        <x:v>ログイン・認証後の役割別遷移</x:v>
      </x:c>
      <x:c r="D13" s="8" t="str">
        <x:v>異常/境界</x:v>
      </x:c>
      <x:c r="E13" s="8" t="str">
        <x:v>全ロール</x:v>
      </x:c>
      <x:c r="F13" s="8" t="str">
        <x:v>4ロールの模擬アカウント</x:v>
      </x:c>
      <x:c r="G13" s="8" t="str">
        <x:v>誤パスワード/OTP・停止アカウントで試す</x:v>
      </x:c>
      <x:c r="H13" s="8" t="str">
        <x:v>利用を拒否し秘密やアカウント存否を漏らさない</x:v>
      </x:c>
      <x:c r="I13" s="10"/>
      <x:c r="J13" s="10"/>
      <x:c r="K13" s="10"/>
      <x:c r="L13" s="10"/>
      <x:c r="M13" s="11"/>
      <x:c r="N13" s="10"/>
      <x:c r="O13" s="10"/>
      <x:c r="P13" s="10"/>
      <x:c r="Q13" s="8" t="str">
        <x:v>src/app/(public)/login/LoginForm.tsx
src/app/api/auth/otp-request/route.ts
src/app/api/auth/otp-verify/route.ts</x:v>
      </x:c>
    </x:row>
    <x:row r="14" ht="34" customHeight="1">
      <x:c r="A14" s="9" t="str">
        <x:v>TC-F-1-5-N</x:v>
      </x:c>
      <x:c r="B14" s="9" t="str">
        <x:v>F-1-5</x:v>
      </x:c>
      <x:c r="C14" s="9" t="str">
        <x:v>ログアウト</x:v>
      </x:c>
      <x:c r="D14" s="9" t="str">
        <x:v>正常</x:v>
      </x:c>
      <x:c r="E14" s="9" t="str">
        <x:v>全ロール</x:v>
      </x:c>
      <x:c r="F14" s="9" t="str">
        <x:v>ログイン済み</x:v>
      </x:c>
      <x:c r="G14" s="9" t="str">
        <x:v>ログアウト後に戻る/保護URLへ進む</x:v>
      </x:c>
      <x:c r="H14" s="9" t="str">
        <x:v>保護情報が表示されずログインへ戻る</x:v>
      </x:c>
      <x:c r="I14" s="10"/>
      <x:c r="J14" s="10"/>
      <x:c r="K14" s="10"/>
      <x:c r="L14" s="10"/>
      <x:c r="M14" s="11"/>
      <x:c r="N14" s="10"/>
      <x:c r="O14" s="10"/>
      <x:c r="P14" s="10"/>
      <x:c r="Q14" s="9" t="str">
        <x:v>src/components/layout/LogoutButton.tsx</x:v>
      </x:c>
    </x:row>
    <x:row r="15" ht="34" customHeight="1">
      <x:c r="A15" s="8" t="str">
        <x:v>TC-F-1-5-A</x:v>
      </x:c>
      <x:c r="B15" s="8" t="str">
        <x:v>F-1-5</x:v>
      </x:c>
      <x:c r="C15" s="8" t="str">
        <x:v>ログアウト</x:v>
      </x:c>
      <x:c r="D15" s="8" t="str">
        <x:v>異常/境界</x:v>
      </x:c>
      <x:c r="E15" s="8" t="str">
        <x:v>全ロール</x:v>
      </x:c>
      <x:c r="F15" s="8" t="str">
        <x:v>ログイン済み</x:v>
      </x:c>
      <x:c r="G15" s="8" t="str">
        <x:v>別タブの保護操作を再送する</x:v>
      </x:c>
      <x:c r="H15" s="8" t="str">
        <x:v>認証切れを検知し保存しない</x:v>
      </x:c>
      <x:c r="I15" s="10"/>
      <x:c r="J15" s="10"/>
      <x:c r="K15" s="10"/>
      <x:c r="L15" s="10"/>
      <x:c r="M15" s="11"/>
      <x:c r="N15" s="10"/>
      <x:c r="O15" s="10"/>
      <x:c r="P15" s="10"/>
      <x:c r="Q15" s="8" t="str">
        <x:v>src/components/layout/LogoutButton.tsx</x:v>
      </x:c>
    </x:row>
    <x:row r="16" ht="55" customHeight="1">
      <x:c r="A16" s="9" t="str">
        <x:v>TC-F-1-6-N</x:v>
      </x:c>
      <x:c r="B16" s="9" t="str">
        <x:v>F-1-6</x:v>
      </x:c>
      <x:c r="C16" s="9" t="str">
        <x:v>パスワード再設定・初回設定</x:v>
      </x:c>
      <x:c r="D16" s="9" t="str">
        <x:v>正常</x:v>
      </x:c>
      <x:c r="E16" s="9" t="str">
        <x:v>staff</x:v>
      </x:c>
      <x:c r="F16" s="9" t="str">
        <x:v>模擬メール受け口と再設定セッション</x:v>
      </x:c>
      <x:c r="G16" s="9" t="str">
        <x:v>再設定リンクから12文字以上の一致したパスワードを設定</x:v>
      </x:c>
      <x:c r="H16" s="9" t="str">
        <x:v>本人のみ更新し再ログインできる</x:v>
      </x:c>
      <x:c r="I16" s="10"/>
      <x:c r="J16" s="10"/>
      <x:c r="K16" s="10"/>
      <x:c r="L16" s="10"/>
      <x:c r="M16" s="11"/>
      <x:c r="N16" s="10"/>
      <x:c r="O16" s="10"/>
      <x:c r="P16" s="10"/>
      <x:c r="Q16" s="9" t="str">
        <x:v>src/app/api/auth/password-reset/route.ts
src/app/(public)/password/PasswordForms.tsx</x:v>
      </x:c>
    </x:row>
    <x:row r="17" ht="55" customHeight="1">
      <x:c r="A17" s="8" t="str">
        <x:v>TC-F-1-6-A</x:v>
      </x:c>
      <x:c r="B17" s="8" t="str">
        <x:v>F-1-6</x:v>
      </x:c>
      <x:c r="C17" s="8" t="str">
        <x:v>パスワード再設定・初回設定</x:v>
      </x:c>
      <x:c r="D17" s="8" t="str">
        <x:v>異常/境界</x:v>
      </x:c>
      <x:c r="E17" s="8" t="str">
        <x:v>staff</x:v>
      </x:c>
      <x:c r="F17" s="8" t="str">
        <x:v>模擬メール受け口と再設定セッション</x:v>
      </x:c>
      <x:c r="G17" s="8" t="str">
        <x:v>11文字・不一致・期限切れ・coupleで更新する</x:v>
      </x:c>
      <x:c r="H17" s="8" t="str">
        <x:v>拒否し既存パスワードを変えない</x:v>
      </x:c>
      <x:c r="I17" s="10"/>
      <x:c r="J17" s="10"/>
      <x:c r="K17" s="10"/>
      <x:c r="L17" s="10"/>
      <x:c r="M17" s="11"/>
      <x:c r="N17" s="10"/>
      <x:c r="O17" s="10"/>
      <x:c r="P17" s="10"/>
      <x:c r="Q17" s="8" t="str">
        <x:v>src/app/api/auth/password-reset/route.ts
src/app/(public)/password/PasswordForms.tsx</x:v>
      </x:c>
    </x:row>
    <x:row r="18" ht="55" customHeight="1">
      <x:c r="A18" s="9" t="str">
        <x:v>TC-F-2-1-N</x:v>
      </x:c>
      <x:c r="B18" s="9" t="str">
        <x:v>F-2-1</x:v>
      </x:c>
      <x:c r="C18" s="9" t="str">
        <x:v>案件登録・採番・招待・初期宿題</x:v>
      </x:c>
      <x:c r="D18" s="9" t="str">
        <x:v>正常</x:v>
      </x:c>
      <x:c r="E18" s="9" t="str">
        <x:v>planner</x:v>
      </x:c>
      <x:c r="F18" s="9" t="str">
        <x:v>自式場のプラン/テンプレート</x:v>
      </x:c>
      <x:c r="G18" s="9" t="str">
        <x:v>未来の挙式日と架空の新郎新婦で案件登録</x:v>
      </x:c>
      <x:c r="H18" s="9" t="str">
        <x:v>案件番号/新郎新婦/招待/初期宿題が整合する</x:v>
      </x:c>
      <x:c r="I18" s="10"/>
      <x:c r="J18" s="10"/>
      <x:c r="K18" s="10"/>
      <x:c r="L18" s="10"/>
      <x:c r="M18" s="11"/>
      <x:c r="N18" s="10"/>
      <x:c r="O18" s="10"/>
      <x:c r="P18" s="10"/>
      <x:c r="Q18" s="9" t="str">
        <x:v>src/app/api/cases/route.ts
supabase/migrations/20260828000800_case_functions.sql</x:v>
      </x:c>
    </x:row>
    <x:row r="19" ht="55" customHeight="1">
      <x:c r="A19" s="8" t="str">
        <x:v>TC-F-2-1-A</x:v>
      </x:c>
      <x:c r="B19" s="8" t="str">
        <x:v>F-2-1</x:v>
      </x:c>
      <x:c r="C19" s="8" t="str">
        <x:v>案件登録・採番・招待・初期宿題</x:v>
      </x:c>
      <x:c r="D19" s="8" t="str">
        <x:v>異常/境界</x:v>
      </x:c>
      <x:c r="E19" s="8" t="str">
        <x:v>planner</x:v>
      </x:c>
      <x:c r="F19" s="8" t="str">
        <x:v>自式場のプラン/テンプレート</x:v>
      </x:c>
      <x:c r="G19" s="8" t="str">
        <x:v>過去日・必須欠落・他式場プランを指定</x:v>
      </x:c>
      <x:c r="H19" s="8" t="str">
        <x:v>登録を拒否し中途半端な関連行を残さない</x:v>
      </x:c>
      <x:c r="I19" s="10"/>
      <x:c r="J19" s="10"/>
      <x:c r="K19" s="10"/>
      <x:c r="L19" s="10"/>
      <x:c r="M19" s="11"/>
      <x:c r="N19" s="10"/>
      <x:c r="O19" s="10"/>
      <x:c r="P19" s="10"/>
      <x:c r="Q19" s="8" t="str">
        <x:v>src/app/api/cases/route.ts
supabase/migrations/20260828000800_case_functions.sql</x:v>
      </x:c>
    </x:row>
    <x:row r="20" ht="40" customHeight="1">
      <x:c r="A20" s="9" t="str">
        <x:v>TC-F-2-2-N</x:v>
      </x:c>
      <x:c r="B20" s="9" t="str">
        <x:v>F-2-2</x:v>
      </x:c>
      <x:c r="C20" s="9" t="str">
        <x:v>案件一覧・検索・並べ替え</x:v>
      </x:c>
      <x:c r="D20" s="9" t="str">
        <x:v>正常</x:v>
      </x:c>
      <x:c r="E20" s="9" t="str">
        <x:v>planner/admin</x:v>
      </x:c>
      <x:c r="F20" s="9" t="str">
        <x:v>通常/未提出/期限超過の模擬案件</x:v>
      </x:c>
      <x:c r="G20" s="9" t="str">
        <x:v>一覧で検索・絞込・並替を変更</x:v>
      </x:c>
      <x:c r="H20" s="9" t="str">
        <x:v>該当する閲覧可能な案件だけを表示</x:v>
      </x:c>
      <x:c r="I20" s="10"/>
      <x:c r="J20" s="10"/>
      <x:c r="K20" s="10"/>
      <x:c r="L20" s="10"/>
      <x:c r="M20" s="11"/>
      <x:c r="N20" s="10"/>
      <x:c r="O20" s="10"/>
      <x:c r="P20" s="10"/>
      <x:c r="Q20" s="9" t="str">
        <x:v>src/lib/services/cases.ts
src/app/(staff)/cases/page.tsx</x:v>
      </x:c>
    </x:row>
    <x:row r="21" ht="40" customHeight="1">
      <x:c r="A21" s="8" t="str">
        <x:v>TC-F-2-2-A</x:v>
      </x:c>
      <x:c r="B21" s="8" t="str">
        <x:v>F-2-2</x:v>
      </x:c>
      <x:c r="C21" s="8" t="str">
        <x:v>案件一覧・検索・並べ替え</x:v>
      </x:c>
      <x:c r="D21" s="8" t="str">
        <x:v>異常/境界</x:v>
      </x:c>
      <x:c r="E21" s="8" t="str">
        <x:v>planner/admin</x:v>
      </x:c>
      <x:c r="F21" s="8" t="str">
        <x:v>通常/未提出/期限超過の模擬案件</x:v>
      </x:c>
      <x:c r="G21" s="8" t="str">
        <x:v>検索0件・ページ末尾・他式場名で検索</x:v>
      </x:c>
      <x:c r="H21" s="8" t="str">
        <x:v>空表示やページ制御が正しく情報が漏れない</x:v>
      </x:c>
      <x:c r="I21" s="10"/>
      <x:c r="J21" s="10"/>
      <x:c r="K21" s="10"/>
      <x:c r="L21" s="10"/>
      <x:c r="M21" s="11"/>
      <x:c r="N21" s="10"/>
      <x:c r="O21" s="10"/>
      <x:c r="P21" s="10"/>
      <x:c r="Q21" s="8" t="str">
        <x:v>src/lib/services/cases.ts
src/app/(staff)/cases/page.tsx</x:v>
      </x:c>
    </x:row>
    <x:row r="22" ht="40" customHeight="1">
      <x:c r="A22" s="9" t="str">
        <x:v>TC-F-2-3-N</x:v>
      </x:c>
      <x:c r="B22" s="9" t="str">
        <x:v>F-2-3</x:v>
      </x:c>
      <x:c r="C22" s="9" t="str">
        <x:v>案件詳細・進捗表示</x:v>
      </x:c>
      <x:c r="D22" s="9" t="str">
        <x:v>正常</x:v>
      </x:c>
      <x:c r="E22" s="9" t="str">
        <x:v>planner/couple</x:v>
      </x:c>
      <x:c r="F22" s="9" t="str">
        <x:v>担当と非担当案件</x:v>
      </x:c>
      <x:c r="G22" s="9" t="str">
        <x:v>案件詳細の基本情報/宿題進捗を開く</x:v>
      </x:c>
      <x:c r="H22" s="9" t="str">
        <x:v>役割に応じた項目と正しい進捗を表示</x:v>
      </x:c>
      <x:c r="I22" s="10"/>
      <x:c r="J22" s="10"/>
      <x:c r="K22" s="10"/>
      <x:c r="L22" s="10"/>
      <x:c r="M22" s="11"/>
      <x:c r="N22" s="10"/>
      <x:c r="O22" s="10"/>
      <x:c r="P22" s="10"/>
      <x:c r="Q22" s="9" t="str">
        <x:v>src/app/(staff)/cases/[caseId]/page.tsx
src/app/(couple)/mypage/case/page.tsx</x:v>
      </x:c>
    </x:row>
    <x:row r="23" ht="40" customHeight="1">
      <x:c r="A23" s="8" t="str">
        <x:v>TC-F-2-3-A</x:v>
      </x:c>
      <x:c r="B23" s="8" t="str">
        <x:v>F-2-3</x:v>
      </x:c>
      <x:c r="C23" s="8" t="str">
        <x:v>案件詳細・進捗表示</x:v>
      </x:c>
      <x:c r="D23" s="8" t="str">
        <x:v>異常/境界</x:v>
      </x:c>
      <x:c r="E23" s="8" t="str">
        <x:v>planner/couple</x:v>
      </x:c>
      <x:c r="F23" s="8" t="str">
        <x:v>担当と非担当案件</x:v>
      </x:c>
      <x:c r="G23" s="8" t="str">
        <x:v>非担当・他式場案件IDを開く</x:v>
      </x:c>
      <x:c r="H23" s="8" t="str">
        <x:v>アクセスを拒否し存在情報を漏らさない</x:v>
      </x:c>
      <x:c r="I23" s="10"/>
      <x:c r="J23" s="10"/>
      <x:c r="K23" s="10"/>
      <x:c r="L23" s="10"/>
      <x:c r="M23" s="11"/>
      <x:c r="N23" s="10"/>
      <x:c r="O23" s="10"/>
      <x:c r="P23" s="10"/>
      <x:c r="Q23" s="8" t="str">
        <x:v>src/app/(staff)/cases/[caseId]/page.tsx
src/app/(couple)/mypage/case/page.tsx</x:v>
      </x:c>
    </x:row>
    <x:row r="24" ht="40" customHeight="1">
      <x:c r="A24" s="9" t="str">
        <x:v>TC-F-2-4-N</x:v>
      </x:c>
      <x:c r="B24" s="9" t="str">
        <x:v>F-2-4</x:v>
      </x:c>
      <x:c r="C24" s="9" t="str">
        <x:v>案件変更・担当変更・期限再計算</x:v>
      </x:c>
      <x:c r="D24" s="9" t="str">
        <x:v>正常</x:v>
      </x:c>
      <x:c r="E24" s="9" t="str">
        <x:v>admin/planner</x:v>
      </x:c>
      <x:c r="F24" s="9" t="str">
        <x:v>期限付き未完了/完了宿題</x:v>
      </x:c>
      <x:c r="G24" s="9" t="str">
        <x:v>挙式日変更の差分を確認し確定。adminで担当を変更</x:v>
      </x:c>
      <x:c r="H24" s="9" t="str">
        <x:v>対象宿題の期限を再計算し担当権限を切替</x:v>
      </x:c>
      <x:c r="I24" s="10"/>
      <x:c r="J24" s="10"/>
      <x:c r="K24" s="10"/>
      <x:c r="L24" s="10"/>
      <x:c r="M24" s="11"/>
      <x:c r="N24" s="10"/>
      <x:c r="O24" s="10"/>
      <x:c r="P24" s="10"/>
      <x:c r="Q24" s="9" t="str">
        <x:v>src/app/api/cases/[caseId]/route.ts
src/lib/services/schedule.ts</x:v>
      </x:c>
    </x:row>
    <x:row r="25" ht="40" customHeight="1">
      <x:c r="A25" s="8" t="str">
        <x:v>TC-F-2-4-A</x:v>
      </x:c>
      <x:c r="B25" s="8" t="str">
        <x:v>F-2-4</x:v>
      </x:c>
      <x:c r="C25" s="8" t="str">
        <x:v>案件変更・担当変更・期限再計算</x:v>
      </x:c>
      <x:c r="D25" s="8" t="str">
        <x:v>異常/境界</x:v>
      </x:c>
      <x:c r="E25" s="8" t="str">
        <x:v>admin/planner</x:v>
      </x:c>
      <x:c r="F25" s="8" t="str">
        <x:v>期限付き未完了/完了宿題</x:v>
      </x:c>
      <x:c r="G25" s="8" t="str">
        <x:v>取消・他式場担当・plannerによる担当変更</x:v>
      </x:c>
      <x:c r="H25" s="8" t="str">
        <x:v>取消なら不変、権限外の担当変更は拒否</x:v>
      </x:c>
      <x:c r="I25" s="10"/>
      <x:c r="J25" s="10"/>
      <x:c r="K25" s="10"/>
      <x:c r="L25" s="10"/>
      <x:c r="M25" s="11"/>
      <x:c r="N25" s="10"/>
      <x:c r="O25" s="10"/>
      <x:c r="P25" s="10"/>
      <x:c r="Q25" s="8" t="str">
        <x:v>src/app/api/cases/[caseId]/route.ts
src/lib/services/schedule.ts</x:v>
      </x:c>
    </x:row>
    <x:row r="26" ht="55" customHeight="1">
      <x:c r="A26" s="9" t="str">
        <x:v>TC-F-2-5-N</x:v>
      </x:c>
      <x:c r="B26" s="9" t="str">
        <x:v>F-2-5</x:v>
      </x:c>
      <x:c r="C26" s="9" t="str">
        <x:v>案件アーカイブ</x:v>
      </x:c>
      <x:c r="D26" s="9" t="str">
        <x:v>正常</x:v>
      </x:c>
      <x:c r="E26" s="9" t="str">
        <x:v>admin</x:v>
      </x:c>
      <x:c r="F26" s="9" t="str">
        <x:v>活動中の模擬案件</x:v>
      </x:c>
      <x:c r="G26" s="9" t="str">
        <x:v>確認画面からアーカイブする</x:v>
      </x:c>
      <x:c r="H26" s="9" t="str">
        <x:v>一覧から除外し状態とarchived_atを保存</x:v>
      </x:c>
      <x:c r="I26" s="10"/>
      <x:c r="J26" s="10"/>
      <x:c r="K26" s="10"/>
      <x:c r="L26" s="10"/>
      <x:c r="M26" s="11"/>
      <x:c r="N26" s="10"/>
      <x:c r="O26" s="10"/>
      <x:c r="P26" s="10"/>
      <x:c r="Q26" s="9" t="str">
        <x:v>src/app/(staff)/cases/[caseId]/archive/page.tsx
src/lib/services/cases.ts</x:v>
      </x:c>
    </x:row>
    <x:row r="27" ht="55" customHeight="1">
      <x:c r="A27" s="8" t="str">
        <x:v>TC-F-2-5-A</x:v>
      </x:c>
      <x:c r="B27" s="8" t="str">
        <x:v>F-2-5</x:v>
      </x:c>
      <x:c r="C27" s="8" t="str">
        <x:v>案件アーカイブ</x:v>
      </x:c>
      <x:c r="D27" s="8" t="str">
        <x:v>異常/境界</x:v>
      </x:c>
      <x:c r="E27" s="8" t="str">
        <x:v>admin</x:v>
      </x:c>
      <x:c r="F27" s="8" t="str">
        <x:v>活動中の模擬案件</x:v>
      </x:c>
      <x:c r="G27" s="8" t="str">
        <x:v>planner/coupleから同じ変更を試す</x:v>
      </x:c>
      <x:c r="H27" s="8" t="str">
        <x:v>権限外更新を拒否する</x:v>
      </x:c>
      <x:c r="I27" s="10"/>
      <x:c r="J27" s="10"/>
      <x:c r="K27" s="10"/>
      <x:c r="L27" s="10"/>
      <x:c r="M27" s="11"/>
      <x:c r="N27" s="10"/>
      <x:c r="O27" s="10"/>
      <x:c r="P27" s="10"/>
      <x:c r="Q27" s="8" t="str">
        <x:v>src/app/(staff)/cases/[caseId]/archive/page.tsx
src/lib/services/cases.ts</x:v>
      </x:c>
    </x:row>
    <x:row r="28" ht="40" customHeight="1">
      <x:c r="A28" s="9" t="str">
        <x:v>TC-F-2-6-N</x:v>
      </x:c>
      <x:c r="B28" s="9" t="str">
        <x:v>F-2-6</x:v>
      </x:c>
      <x:c r="C28" s="9" t="str">
        <x:v>案件復元</x:v>
      </x:c>
      <x:c r="D28" s="9" t="str">
        <x:v>正常</x:v>
      </x:c>
      <x:c r="E28" s="9" t="str">
        <x:v>admin</x:v>
      </x:c>
      <x:c r="F28" s="9" t="str">
        <x:v>アーカイブ案件</x:v>
      </x:c>
      <x:c r="G28" s="9" t="str">
        <x:v>アーカイブ一覧から復元する</x:v>
      </x:c>
      <x:c r="H28" s="9" t="str">
        <x:v>activeとなり対象一覧へ再表示</x:v>
      </x:c>
      <x:c r="I28" s="10"/>
      <x:c r="J28" s="10"/>
      <x:c r="K28" s="10"/>
      <x:c r="L28" s="10"/>
      <x:c r="M28" s="11"/>
      <x:c r="N28" s="10"/>
      <x:c r="O28" s="10"/>
      <x:c r="P28" s="10"/>
      <x:c r="Q28" s="9" t="str">
        <x:v>src/app/(staff)/cases/page.tsx
src/lib/services/cases.ts</x:v>
      </x:c>
    </x:row>
    <x:row r="29" ht="40" customHeight="1">
      <x:c r="A29" s="8" t="str">
        <x:v>TC-F-2-6-A</x:v>
      </x:c>
      <x:c r="B29" s="8" t="str">
        <x:v>F-2-6</x:v>
      </x:c>
      <x:c r="C29" s="8" t="str">
        <x:v>案件復元</x:v>
      </x:c>
      <x:c r="D29" s="8" t="str">
        <x:v>異常/境界</x:v>
      </x:c>
      <x:c r="E29" s="8" t="str">
        <x:v>admin</x:v>
      </x:c>
      <x:c r="F29" s="8" t="str">
        <x:v>アーカイブ案件</x:v>
      </x:c>
      <x:c r="G29" s="8" t="str">
        <x:v>planner・別式場から復元する</x:v>
      </x:c>
      <x:c r="H29" s="8" t="str">
        <x:v>復元を拒否する</x:v>
      </x:c>
      <x:c r="I29" s="10"/>
      <x:c r="J29" s="10"/>
      <x:c r="K29" s="10"/>
      <x:c r="L29" s="10"/>
      <x:c r="M29" s="11"/>
      <x:c r="N29" s="10"/>
      <x:c r="O29" s="10"/>
      <x:c r="P29" s="10"/>
      <x:c r="Q29" s="8" t="str">
        <x:v>src/app/(staff)/cases/page.tsx
src/lib/services/cases.ts</x:v>
      </x:c>
    </x:row>
    <x:row r="30" ht="34" customHeight="1">
      <x:c r="A30" s="9" t="str">
        <x:v>TC-F-3-1-N</x:v>
      </x:c>
      <x:c r="B30" s="9" t="str">
        <x:v>F-3-1</x:v>
      </x:c>
      <x:c r="C30" s="9" t="str">
        <x:v>coupleのダッシュボード</x:v>
      </x:c>
      <x:c r="D30" s="9" t="str">
        <x:v>正常</x:v>
      </x:c>
      <x:c r="E30" s="9" t="str">
        <x:v>couple</x:v>
      </x:c>
      <x:c r="F30" s="9" t="str">
        <x:v>期限超過/未提出/確認済み宿題</x:v>
      </x:c>
      <x:c r="G30" s="9" t="str">
        <x:v>マイページを開き次の宿題へ進む</x:v>
      </x:c>
      <x:c r="H30" s="9" t="str">
        <x:v>次の行動と進捗を表示しリスク数値を隠す</x:v>
      </x:c>
      <x:c r="I30" s="10"/>
      <x:c r="J30" s="10"/>
      <x:c r="K30" s="10"/>
      <x:c r="L30" s="10"/>
      <x:c r="M30" s="11"/>
      <x:c r="N30" s="10"/>
      <x:c r="O30" s="10"/>
      <x:c r="P30" s="10"/>
      <x:c r="Q30" s="9" t="str">
        <x:v>src/app/(couple)/mypage/page.tsx</x:v>
      </x:c>
    </x:row>
    <x:row r="31" ht="34" customHeight="1">
      <x:c r="A31" s="8" t="str">
        <x:v>TC-F-3-1-A</x:v>
      </x:c>
      <x:c r="B31" s="8" t="str">
        <x:v>F-3-1</x:v>
      </x:c>
      <x:c r="C31" s="8" t="str">
        <x:v>coupleのダッシュボード</x:v>
      </x:c>
      <x:c r="D31" s="8" t="str">
        <x:v>異常/境界</x:v>
      </x:c>
      <x:c r="E31" s="8" t="str">
        <x:v>couple</x:v>
      </x:c>
      <x:c r="F31" s="8" t="str">
        <x:v>期限超過/未提出/確認済み宿題</x:v>
      </x:c>
      <x:c r="G31" s="8" t="str">
        <x:v>宿題0件/全完了の案件を開く</x:v>
      </x:c>
      <x:c r="H31" s="8" t="str">
        <x:v>空/完了状態が明確で壊れない</x:v>
      </x:c>
      <x:c r="I31" s="10"/>
      <x:c r="J31" s="10"/>
      <x:c r="K31" s="10"/>
      <x:c r="L31" s="10"/>
      <x:c r="M31" s="11"/>
      <x:c r="N31" s="10"/>
      <x:c r="O31" s="10"/>
      <x:c r="P31" s="10"/>
      <x:c r="Q31" s="8" t="str">
        <x:v>src/app/(couple)/mypage/page.tsx</x:v>
      </x:c>
    </x:row>
    <x:row r="32" ht="55" customHeight="1">
      <x:c r="A32" s="9" t="str">
        <x:v>TC-F-3-2-N</x:v>
      </x:c>
      <x:c r="B32" s="9" t="str">
        <x:v>F-3-2</x:v>
      </x:c>
      <x:c r="C32" s="9" t="str">
        <x:v>coupleの宿題一覧・状態表示</x:v>
      </x:c>
      <x:c r="D32" s="9" t="str">
        <x:v>正常</x:v>
      </x:c>
      <x:c r="E32" s="9" t="str">
        <x:v>couple</x:v>
      </x:c>
      <x:c r="F32" s="9" t="str">
        <x:v>複数状態の宿題</x:v>
      </x:c>
      <x:c r="G32" s="9" t="str">
        <x:v>状態タブを切替し期限順を確認</x:v>
      </x:c>
      <x:c r="H32" s="9" t="str">
        <x:v>件数・状態・並びが対応する</x:v>
      </x:c>
      <x:c r="I32" s="10"/>
      <x:c r="J32" s="10"/>
      <x:c r="K32" s="10"/>
      <x:c r="L32" s="10"/>
      <x:c r="M32" s="11"/>
      <x:c r="N32" s="10"/>
      <x:c r="O32" s="10"/>
      <x:c r="P32" s="10"/>
      <x:c r="Q32" s="9" t="str">
        <x:v>src/app/(couple)/mypage/tasks/page.tsx
src/app/(couple)/mypage/tasks/TaskFilterTabs.tsx</x:v>
      </x:c>
    </x:row>
    <x:row r="33" ht="55" customHeight="1">
      <x:c r="A33" s="8" t="str">
        <x:v>TC-F-3-2-A</x:v>
      </x:c>
      <x:c r="B33" s="8" t="str">
        <x:v>F-3-2</x:v>
      </x:c>
      <x:c r="C33" s="8" t="str">
        <x:v>coupleの宿題一覧・状態表示</x:v>
      </x:c>
      <x:c r="D33" s="8" t="str">
        <x:v>異常/境界</x:v>
      </x:c>
      <x:c r="E33" s="8" t="str">
        <x:v>couple</x:v>
      </x:c>
      <x:c r="F33" s="8" t="str">
        <x:v>複数状態の宿題</x:v>
      </x:c>
      <x:c r="G33" s="8" t="str">
        <x:v>同一期限・該当0件を確認</x:v>
      </x:c>
      <x:c r="H33" s="8" t="str">
        <x:v>同着順が安定し空表示が明確</x:v>
      </x:c>
      <x:c r="I33" s="10"/>
      <x:c r="J33" s="10"/>
      <x:c r="K33" s="10"/>
      <x:c r="L33" s="10"/>
      <x:c r="M33" s="11"/>
      <x:c r="N33" s="10"/>
      <x:c r="O33" s="10"/>
      <x:c r="P33" s="10"/>
      <x:c r="Q33" s="8" t="str">
        <x:v>src/app/(couple)/mypage/tasks/page.tsx
src/app/(couple)/mypage/tasks/TaskFilterTabs.tsx</x:v>
      </x:c>
    </x:row>
    <x:row r="34" ht="70" customHeight="1">
      <x:c r="A34" s="9" t="str">
        <x:v>TC-F-3-3-N</x:v>
      </x:c>
      <x:c r="B34" s="9" t="str">
        <x:v>F-3-3</x:v>
      </x:c>
      <x:c r="C34" s="9" t="str">
        <x:v>宿題提出・一時保存・再提出</x:v>
      </x:c>
      <x:c r="D34" s="9" t="str">
        <x:v>正常</x:v>
      </x:c>
      <x:c r="E34" s="9" t="str">
        <x:v>couple</x:v>
      </x:c>
      <x:c r="F34" s="9" t="str">
        <x:v>text/file/select/noneの宿題</x:v>
      </x:c>
      <x:c r="G34" s="9" t="str">
        <x:v>一時保存→提出→不備後に再提出する</x:v>
      </x:c>
      <x:c r="H34" s="9" t="str">
        <x:v>最新提出1件と履歴/共有状態が整合する</x:v>
      </x:c>
      <x:c r="I34" s="10"/>
      <x:c r="J34" s="10"/>
      <x:c r="K34" s="10"/>
      <x:c r="L34" s="10"/>
      <x:c r="M34" s="11"/>
      <x:c r="N34" s="10"/>
      <x:c r="O34" s="10"/>
      <x:c r="P34" s="10"/>
      <x:c r="Q34" s="9" t="str">
        <x:v>src/app/(couple)/mypage/tasks/[taskId]/SubmitForm.tsx
src/app/api/tasks/[taskId]/submit/route.ts</x:v>
      </x:c>
    </x:row>
    <x:row r="35" ht="70" customHeight="1">
      <x:c r="A35" s="8" t="str">
        <x:v>TC-F-3-3-A</x:v>
      </x:c>
      <x:c r="B35" s="8" t="str">
        <x:v>F-3-3</x:v>
      </x:c>
      <x:c r="C35" s="8" t="str">
        <x:v>宿題提出・一時保存・再提出</x:v>
      </x:c>
      <x:c r="D35" s="8" t="str">
        <x:v>異常/境界</x:v>
      </x:c>
      <x:c r="E35" s="8" t="str">
        <x:v>couple</x:v>
      </x:c>
      <x:c r="F35" s="8" t="str">
        <x:v>text/file/select/noneの宿題</x:v>
      </x:c>
      <x:c r="G35" s="8" t="str">
        <x:v>必須なし・重複押下・他案件宿題に提出</x:v>
      </x:c>
      <x:c r="H35" s="8" t="str">
        <x:v>不正提出を拒否し重複/他案件更新をしない</x:v>
      </x:c>
      <x:c r="I35" s="10"/>
      <x:c r="J35" s="10"/>
      <x:c r="K35" s="10"/>
      <x:c r="L35" s="10"/>
      <x:c r="M35" s="11"/>
      <x:c r="N35" s="10"/>
      <x:c r="O35" s="10"/>
      <x:c r="P35" s="10"/>
      <x:c r="Q35" s="8" t="str">
        <x:v>src/app/(couple)/mypage/tasks/[taskId]/SubmitForm.tsx
src/app/api/tasks/[taskId]/submit/route.ts</x:v>
      </x:c>
    </x:row>
    <x:row r="36" ht="40" customHeight="1">
      <x:c r="A36" s="9" t="str">
        <x:v>TC-F-3-4-N</x:v>
      </x:c>
      <x:c r="B36" s="9" t="str">
        <x:v>F-3-4</x:v>
      </x:c>
      <x:c r="C36" s="9" t="str">
        <x:v>逆算した準備タイムライン</x:v>
      </x:c>
      <x:c r="D36" s="9" t="str">
        <x:v>正常</x:v>
      </x:c>
      <x:c r="E36" s="9" t="str">
        <x:v>couple</x:v>
      </x:c>
      <x:c r="F36" s="9" t="str">
        <x:v>未来挙式日と宿題期限</x:v>
      </x:c>
      <x:c r="G36" s="9" t="str">
        <x:v>準備タイムラインを開く</x:v>
      </x:c>
      <x:c r="H36" s="9" t="str">
        <x:v>挙式日から逆算した日付/完了状態を表示</x:v>
      </x:c>
      <x:c r="I36" s="10"/>
      <x:c r="J36" s="10"/>
      <x:c r="K36" s="10"/>
      <x:c r="L36" s="10"/>
      <x:c r="M36" s="11"/>
      <x:c r="N36" s="10"/>
      <x:c r="O36" s="10"/>
      <x:c r="P36" s="10"/>
      <x:c r="Q36" s="9" t="str">
        <x:v>src/app/(couple)/mypage/timeline/page.tsx
src/lib/services/schedule.ts</x:v>
      </x:c>
    </x:row>
    <x:row r="37" ht="40" customHeight="1">
      <x:c r="A37" s="8" t="str">
        <x:v>TC-F-3-4-A</x:v>
      </x:c>
      <x:c r="B37" s="8" t="str">
        <x:v>F-3-4</x:v>
      </x:c>
      <x:c r="C37" s="8" t="str">
        <x:v>逆算した準備タイムライン</x:v>
      </x:c>
      <x:c r="D37" s="8" t="str">
        <x:v>異常/境界</x:v>
      </x:c>
      <x:c r="E37" s="8" t="str">
        <x:v>couple</x:v>
      </x:c>
      <x:c r="F37" s="8" t="str">
        <x:v>未来挙式日と宿題期限</x:v>
      </x:c>
      <x:c r="G37" s="8" t="str">
        <x:v>年/月/うるう日を跨ぐ期限を確認</x:v>
      </x:c>
      <x:c r="H37" s="8" t="str">
        <x:v>日付計算が正しくリスクを表示しない</x:v>
      </x:c>
      <x:c r="I37" s="10"/>
      <x:c r="J37" s="10"/>
      <x:c r="K37" s="10"/>
      <x:c r="L37" s="10"/>
      <x:c r="M37" s="11"/>
      <x:c r="N37" s="10"/>
      <x:c r="O37" s="10"/>
      <x:c r="P37" s="10"/>
      <x:c r="Q37" s="8" t="str">
        <x:v>src/app/(couple)/mypage/timeline/page.tsx
src/lib/services/schedule.ts</x:v>
      </x:c>
    </x:row>
    <x:row r="38" ht="40" customHeight="1">
      <x:c r="A38" s="9" t="str">
        <x:v>TC-F-3-5-N</x:v>
      </x:c>
      <x:c r="B38" s="9" t="str">
        <x:v>F-3-5</x:v>
      </x:c>
      <x:c r="C38" s="9" t="str">
        <x:v>coupleの通知一覧</x:v>
      </x:c>
      <x:c r="D38" s="9" t="str">
        <x:v>正常</x:v>
      </x:c>
      <x:c r="E38" s="9" t="str">
        <x:v>couple</x:v>
      </x:c>
      <x:c r="F38" s="9" t="str">
        <x:v>自案件の未読/既読通知</x:v>
      </x:c>
      <x:c r="G38" s="9" t="str">
        <x:v>通知を開き既読へする</x:v>
      </x:c>
      <x:c r="H38" s="9" t="str">
        <x:v>本人の通知と既読状態が更新される</x:v>
      </x:c>
      <x:c r="I38" s="10"/>
      <x:c r="J38" s="10"/>
      <x:c r="K38" s="10"/>
      <x:c r="L38" s="10"/>
      <x:c r="M38" s="11"/>
      <x:c r="N38" s="10"/>
      <x:c r="O38" s="10"/>
      <x:c r="P38" s="10"/>
      <x:c r="Q38" s="9" t="str">
        <x:v>src/app/(couple)/mypage/notifications/page.tsx</x:v>
      </x:c>
    </x:row>
    <x:row r="39" ht="40" customHeight="1">
      <x:c r="A39" s="8" t="str">
        <x:v>TC-F-3-5-A</x:v>
      </x:c>
      <x:c r="B39" s="8" t="str">
        <x:v>F-3-5</x:v>
      </x:c>
      <x:c r="C39" s="8" t="str">
        <x:v>coupleの通知一覧</x:v>
      </x:c>
      <x:c r="D39" s="8" t="str">
        <x:v>異常/境界</x:v>
      </x:c>
      <x:c r="E39" s="8" t="str">
        <x:v>couple</x:v>
      </x:c>
      <x:c r="F39" s="8" t="str">
        <x:v>自案件の未読/既読通知</x:v>
      </x:c>
      <x:c r="G39" s="8" t="str">
        <x:v>他人通知IDへアクセス</x:v>
      </x:c>
      <x:c r="H39" s="8" t="str">
        <x:v>内容を閲覧/更新できない</x:v>
      </x:c>
      <x:c r="I39" s="10"/>
      <x:c r="J39" s="10"/>
      <x:c r="K39" s="10"/>
      <x:c r="L39" s="10"/>
      <x:c r="M39" s="11"/>
      <x:c r="N39" s="10"/>
      <x:c r="O39" s="10"/>
      <x:c r="P39" s="10"/>
      <x:c r="Q39" s="8" t="str">
        <x:v>src/app/(couple)/mypage/notifications/page.tsx</x:v>
      </x:c>
    </x:row>
    <x:row r="40" ht="34" customHeight="1">
      <x:c r="A40" s="9" t="str">
        <x:v>TC-F-4-1-N</x:v>
      </x:c>
      <x:c r="B40" s="9" t="str">
        <x:v>F-4-1</x:v>
      </x:c>
      <x:c r="C40" s="9" t="str">
        <x:v>プランナーの案件サマリー</x:v>
      </x:c>
      <x:c r="D40" s="9" t="str">
        <x:v>正常</x:v>
      </x:c>
      <x:c r="E40" s="9" t="str">
        <x:v>planner</x:v>
      </x:c>
      <x:c r="F40" s="9" t="str">
        <x:v>自分/他担当の複数案件</x:v>
      </x:c>
      <x:c r="G40" s="9" t="str">
        <x:v>ダッシュボード件数を一覧と照合</x:v>
      </x:c>
      <x:c r="H40" s="9" t="str">
        <x:v>権限内案件の状態別件数が一致する</x:v>
      </x:c>
      <x:c r="I40" s="10"/>
      <x:c r="J40" s="10"/>
      <x:c r="K40" s="10"/>
      <x:c r="L40" s="10"/>
      <x:c r="M40" s="11"/>
      <x:c r="N40" s="10"/>
      <x:c r="O40" s="10"/>
      <x:c r="P40" s="10"/>
      <x:c r="Q40" s="9" t="str">
        <x:v>src/app/(staff)/dashboard/page.tsx</x:v>
      </x:c>
    </x:row>
    <x:row r="41" ht="34" customHeight="1">
      <x:c r="A41" s="8" t="str">
        <x:v>TC-F-4-1-A</x:v>
      </x:c>
      <x:c r="B41" s="8" t="str">
        <x:v>F-4-1</x:v>
      </x:c>
      <x:c r="C41" s="8" t="str">
        <x:v>プランナーの案件サマリー</x:v>
      </x:c>
      <x:c r="D41" s="8" t="str">
        <x:v>異常/境界</x:v>
      </x:c>
      <x:c r="E41" s="8" t="str">
        <x:v>planner</x:v>
      </x:c>
      <x:c r="F41" s="8" t="str">
        <x:v>自分/他担当の複数案件</x:v>
      </x:c>
      <x:c r="G41" s="8" t="str">
        <x:v>担当案件0件で開く</x:v>
      </x:c>
      <x:c r="H41" s="8" t="str">
        <x:v>0件表示と登録導線が壊れない</x:v>
      </x:c>
      <x:c r="I41" s="10"/>
      <x:c r="J41" s="10"/>
      <x:c r="K41" s="10"/>
      <x:c r="L41" s="10"/>
      <x:c r="M41" s="11"/>
      <x:c r="N41" s="10"/>
      <x:c r="O41" s="10"/>
      <x:c r="P41" s="10"/>
      <x:c r="Q41" s="8" t="str">
        <x:v>src/app/(staff)/dashboard/page.tsx</x:v>
      </x:c>
    </x:row>
    <x:row r="42" ht="55" customHeight="1">
      <x:c r="A42" s="9" t="str">
        <x:v>TC-F-4-2-N</x:v>
      </x:c>
      <x:c r="B42" s="9" t="str">
        <x:v>F-4-2</x:v>
      </x:c>
      <x:c r="C42" s="9" t="str">
        <x:v>今日フォローすべき案件と根拠</x:v>
      </x:c>
      <x:c r="D42" s="9" t="str">
        <x:v>正常</x:v>
      </x:c>
      <x:c r="E42" s="9" t="str">
        <x:v>planner</x:v>
      </x:c>
      <x:c r="F42" s="9" t="str">
        <x:v>リスク高/期限近/問題なし案件</x:v>
      </x:c>
      <x:c r="G42" s="9" t="str">
        <x:v>今日のフォロー対象と理由を確認</x:v>
      </x:c>
      <x:c r="H42" s="9" t="str">
        <x:v>対象と理由が既知の模擬条件に一致する</x:v>
      </x:c>
      <x:c r="I42" s="10"/>
      <x:c r="J42" s="10"/>
      <x:c r="K42" s="10"/>
      <x:c r="L42" s="10"/>
      <x:c r="M42" s="11"/>
      <x:c r="N42" s="10"/>
      <x:c r="O42" s="10"/>
      <x:c r="P42" s="10"/>
      <x:c r="Q42" s="9" t="str">
        <x:v>src/app/api/dashboard/follow-up-today/route.ts
src/lib/services/riskStore.ts</x:v>
      </x:c>
    </x:row>
    <x:row r="43" ht="55" customHeight="1">
      <x:c r="A43" s="8" t="str">
        <x:v>TC-F-4-2-A</x:v>
      </x:c>
      <x:c r="B43" s="8" t="str">
        <x:v>F-4-2</x:v>
      </x:c>
      <x:c r="C43" s="8" t="str">
        <x:v>今日フォローすべき案件と根拠</x:v>
      </x:c>
      <x:c r="D43" s="8" t="str">
        <x:v>異常/境界</x:v>
      </x:c>
      <x:c r="E43" s="8" t="str">
        <x:v>planner</x:v>
      </x:c>
      <x:c r="F43" s="8" t="str">
        <x:v>リスク高/期限近/問題なし案件</x:v>
      </x:c>
      <x:c r="G43" s="8" t="str">
        <x:v>同点・0件・アーカイブ案件を混在</x:v>
      </x:c>
      <x:c r="H43" s="8" t="str">
        <x:v>安定順で対象外を含めない</x:v>
      </x:c>
      <x:c r="I43" s="10"/>
      <x:c r="J43" s="10"/>
      <x:c r="K43" s="10"/>
      <x:c r="L43" s="10"/>
      <x:c r="M43" s="11"/>
      <x:c r="N43" s="10"/>
      <x:c r="O43" s="10"/>
      <x:c r="P43" s="10"/>
      <x:c r="Q43" s="8" t="str">
        <x:v>src/app/api/dashboard/follow-up-today/route.ts
src/lib/services/riskStore.ts</x:v>
      </x:c>
    </x:row>
    <x:row r="44" ht="70" customHeight="1">
      <x:c r="A44" s="9" t="str">
        <x:v>TC-F-4-3-N</x:v>
      </x:c>
      <x:c r="B44" s="9" t="str">
        <x:v>F-4-3</x:v>
      </x:c>
      <x:c r="C44" s="9" t="str">
        <x:v>提出物の確認・不備指摘</x:v>
      </x:c>
      <x:c r="D44" s="9" t="str">
        <x:v>正常</x:v>
      </x:c>
      <x:c r="E44" s="9" t="str">
        <x:v>planner</x:v>
      </x:c>
      <x:c r="F44" s="9" t="str">
        <x:v>提出済み宿題</x:v>
      </x:c>
      <x:c r="G44" s="9" t="str">
        <x:v>確認完了または不備コメントを保存</x:v>
      </x:c>
      <x:c r="H44" s="9" t="str">
        <x:v>状態/コメント/連絡履歴を反映</x:v>
      </x:c>
      <x:c r="I44" s="10"/>
      <x:c r="J44" s="10"/>
      <x:c r="K44" s="10"/>
      <x:c r="L44" s="10"/>
      <x:c r="M44" s="11"/>
      <x:c r="N44" s="10"/>
      <x:c r="O44" s="10"/>
      <x:c r="P44" s="10"/>
      <x:c r="Q44" s="9" t="str">
        <x:v>src/app/(staff)/submissions/[submissionId]/ReviewForm.tsx
src/app/api/submissions/[submissionId]/review/route.ts</x:v>
      </x:c>
    </x:row>
    <x:row r="45" ht="70" customHeight="1">
      <x:c r="A45" s="8" t="str">
        <x:v>TC-F-4-3-A</x:v>
      </x:c>
      <x:c r="B45" s="8" t="str">
        <x:v>F-4-3</x:v>
      </x:c>
      <x:c r="C45" s="8" t="str">
        <x:v>提出物の確認・不備指摘</x:v>
      </x:c>
      <x:c r="D45" s="8" t="str">
        <x:v>異常/境界</x:v>
      </x:c>
      <x:c r="E45" s="8" t="str">
        <x:v>planner</x:v>
      </x:c>
      <x:c r="F45" s="8" t="str">
        <x:v>提出済み宿題</x:v>
      </x:c>
      <x:c r="G45" s="8" t="str">
        <x:v>古い提出を確認・連続確定・他担当から確認</x:v>
      </x:c>
      <x:c r="H45" s="8" t="str">
        <x:v>競合/権限エラーとなり最新を上書きしない</x:v>
      </x:c>
      <x:c r="I45" s="10"/>
      <x:c r="J45" s="10"/>
      <x:c r="K45" s="10"/>
      <x:c r="L45" s="10"/>
      <x:c r="M45" s="11"/>
      <x:c r="N45" s="10"/>
      <x:c r="O45" s="10"/>
      <x:c r="P45" s="10"/>
      <x:c r="Q45" s="8" t="str">
        <x:v>src/app/(staff)/submissions/[submissionId]/ReviewForm.tsx
src/app/api/submissions/[submissionId]/review/route.ts</x:v>
      </x:c>
    </x:row>
    <x:row r="46" ht="70" customHeight="1">
      <x:c r="A46" s="9" t="str">
        <x:v>TC-F-4-4-N</x:v>
      </x:c>
      <x:c r="B46" s="9" t="str">
        <x:v>F-4-4</x:v>
      </x:c>
      <x:c r="C46" s="9" t="str">
        <x:v>フォロー記録</x:v>
      </x:c>
      <x:c r="D46" s="9" t="str">
        <x:v>正常</x:v>
      </x:c>
      <x:c r="E46" s="9" t="str">
        <x:v>planner</x:v>
      </x:c>
      <x:c r="F46" s="9" t="str">
        <x:v>自担当案件</x:v>
      </x:c>
      <x:c r="G46" s="9" t="str">
        <x:v>方法/対応日/架空の要約でフォロー記録を保存</x:v>
      </x:c>
      <x:c r="H46" s="9" t="str">
        <x:v>案件の履歴に実行者付きで表示</x:v>
      </x:c>
      <x:c r="I46" s="10"/>
      <x:c r="J46" s="10"/>
      <x:c r="K46" s="10"/>
      <x:c r="L46" s="10"/>
      <x:c r="M46" s="11"/>
      <x:c r="N46" s="10"/>
      <x:c r="O46" s="10"/>
      <x:c r="P46" s="10"/>
      <x:c r="Q46" s="9" t="str">
        <x:v>src/app/api/cases/[caseId]/follow-logs/route.ts
src/app/(staff)/cases/[caseId]/follow/page.tsx</x:v>
      </x:c>
    </x:row>
    <x:row r="47" ht="70" customHeight="1">
      <x:c r="A47" s="8" t="str">
        <x:v>TC-F-4-4-A</x:v>
      </x:c>
      <x:c r="B47" s="8" t="str">
        <x:v>F-4-4</x:v>
      </x:c>
      <x:c r="C47" s="8" t="str">
        <x:v>フォロー記録</x:v>
      </x:c>
      <x:c r="D47" s="8" t="str">
        <x:v>異常/境界</x:v>
      </x:c>
      <x:c r="E47" s="8" t="str">
        <x:v>planner</x:v>
      </x:c>
      <x:c r="F47" s="8" t="str">
        <x:v>自担当案件</x:v>
      </x:c>
      <x:c r="G47" s="8" t="str">
        <x:v>必須なし・他案件IDへ保存</x:v>
      </x:c>
      <x:c r="H47" s="8" t="str">
        <x:v>入力/権限エラーで追加しない</x:v>
      </x:c>
      <x:c r="I47" s="10"/>
      <x:c r="J47" s="10"/>
      <x:c r="K47" s="10"/>
      <x:c r="L47" s="10"/>
      <x:c r="M47" s="11"/>
      <x:c r="N47" s="10"/>
      <x:c r="O47" s="10"/>
      <x:c r="P47" s="10"/>
      <x:c r="Q47" s="8" t="str">
        <x:v>src/app/api/cases/[caseId]/follow-logs/route.ts
src/app/(staff)/cases/[caseId]/follow/page.tsx</x:v>
      </x:c>
    </x:row>
    <x:row r="48" ht="85" customHeight="1">
      <x:c r="A48" s="9" t="str">
        <x:v>TC-F-4-5-N</x:v>
      </x:c>
      <x:c r="B48" s="9" t="str">
        <x:v>F-4-5</x:v>
      </x:c>
      <x:c r="C48" s="9" t="str">
        <x:v>打ち合わせ前準備シート・印刷</x:v>
      </x:c>
      <x:c r="D48" s="9" t="str">
        <x:v>正常</x:v>
      </x:c>
      <x:c r="E48" s="9" t="str">
        <x:v>planner</x:v>
      </x:c>
      <x:c r="F48" s="9" t="str">
        <x:v>案件/宿題/フォロー記録あり</x:v>
      </x:c>
      <x:c r="G48" s="9" t="str">
        <x:v>準備シートを表示し印刷プレビューを開く</x:v>
      </x:c>
      <x:c r="H48" s="9" t="str">
        <x:v>主要項目が揃いUI操作部を印刷しない</x:v>
      </x:c>
      <x:c r="I48" s="10"/>
      <x:c r="J48" s="10"/>
      <x:c r="K48" s="10"/>
      <x:c r="L48" s="10"/>
      <x:c r="M48" s="11"/>
      <x:c r="N48" s="10"/>
      <x:c r="O48" s="10"/>
      <x:c r="P48" s="10"/>
      <x:c r="Q48" s="9" t="str">
        <x:v>src/app/(staff)/cases/[caseId]/sheet/page.tsx
src/app/(staff)/cases/[caseId]/sheet/PrintButton.tsx
src/app/globals.css</x:v>
      </x:c>
    </x:row>
    <x:row r="49" ht="85" customHeight="1">
      <x:c r="A49" s="8" t="str">
        <x:v>TC-F-4-5-A</x:v>
      </x:c>
      <x:c r="B49" s="8" t="str">
        <x:v>F-4-5</x:v>
      </x:c>
      <x:c r="C49" s="8" t="str">
        <x:v>打ち合わせ前準備シート・印刷</x:v>
      </x:c>
      <x:c r="D49" s="8" t="str">
        <x:v>異常/境界</x:v>
      </x:c>
      <x:c r="E49" s="8" t="str">
        <x:v>planner</x:v>
      </x:c>
      <x:c r="F49" s="8" t="str">
        <x:v>案件/宿題/フォロー記録あり</x:v>
      </x:c>
      <x:c r="G49" s="8" t="str">
        <x:v>長い記録・AI停止・記録0件で開く</x:v>
      </x:c>
      <x:c r="H49" s="8" t="str">
        <x:v>内容が切れず手動のシートを利用できる</x:v>
      </x:c>
      <x:c r="I49" s="10"/>
      <x:c r="J49" s="10"/>
      <x:c r="K49" s="10"/>
      <x:c r="L49" s="10"/>
      <x:c r="M49" s="11"/>
      <x:c r="N49" s="10"/>
      <x:c r="O49" s="10"/>
      <x:c r="P49" s="10"/>
      <x:c r="Q49" s="8" t="str">
        <x:v>src/app/(staff)/cases/[caseId]/sheet/page.tsx
src/app/(staff)/cases/[caseId]/sheet/PrintButton.tsx
src/app/globals.css</x:v>
      </x:c>
    </x:row>
    <x:row r="50" ht="34" customHeight="1">
      <x:c r="A50" s="9" t="str">
        <x:v>TC-F-5-1-N</x:v>
      </x:c>
      <x:c r="B50" s="9" t="str">
        <x:v>F-5-1</x:v>
      </x:c>
      <x:c r="C50" s="9" t="str">
        <x:v>宿題テンプレート一覧</x:v>
      </x:c>
      <x:c r="D50" s="9" t="str">
        <x:v>正常</x:v>
      </x:c>
      <x:c r="E50" s="9" t="str">
        <x:v>admin/planner</x:v>
      </x:c>
      <x:c r="F50" s="9" t="str">
        <x:v>有効/無効の自式場テンプレート</x:v>
      </x:c>
      <x:c r="G50" s="9" t="str">
        <x:v>テンプレート一覧を開く</x:v>
      </x:c>
      <x:c r="H50" s="9" t="str">
        <x:v>自式場の項目と設定を表示</x:v>
      </x:c>
      <x:c r="I50" s="10"/>
      <x:c r="J50" s="10"/>
      <x:c r="K50" s="10"/>
      <x:c r="L50" s="10"/>
      <x:c r="M50" s="11"/>
      <x:c r="N50" s="10"/>
      <x:c r="O50" s="10"/>
      <x:c r="P50" s="10"/>
      <x:c r="Q50" s="9" t="str">
        <x:v>src/app/(staff)/templates/page.tsx</x:v>
      </x:c>
    </x:row>
    <x:row r="51" ht="34" customHeight="1">
      <x:c r="A51" s="8" t="str">
        <x:v>TC-F-5-1-A</x:v>
      </x:c>
      <x:c r="B51" s="8" t="str">
        <x:v>F-5-1</x:v>
      </x:c>
      <x:c r="C51" s="8" t="str">
        <x:v>宿題テンプレート一覧</x:v>
      </x:c>
      <x:c r="D51" s="8" t="str">
        <x:v>異常/境界</x:v>
      </x:c>
      <x:c r="E51" s="8" t="str">
        <x:v>admin/planner</x:v>
      </x:c>
      <x:c r="F51" s="8" t="str">
        <x:v>有効/無効の自式場テンプレート</x:v>
      </x:c>
      <x:c r="G51" s="8" t="str">
        <x:v>別式場データ/テンプレート0件を確認</x:v>
      </x:c>
      <x:c r="H51" s="8" t="str">
        <x:v>情報を漏らさず空表示を出す</x:v>
      </x:c>
      <x:c r="I51" s="10"/>
      <x:c r="J51" s="10"/>
      <x:c r="K51" s="10"/>
      <x:c r="L51" s="10"/>
      <x:c r="M51" s="11"/>
      <x:c r="N51" s="10"/>
      <x:c r="O51" s="10"/>
      <x:c r="P51" s="10"/>
      <x:c r="Q51" s="8" t="str">
        <x:v>src/app/(staff)/templates/page.tsx</x:v>
      </x:c>
    </x:row>
    <x:row r="52" ht="70" customHeight="1">
      <x:c r="A52" s="9" t="str">
        <x:v>TC-F-5-2-N</x:v>
      </x:c>
      <x:c r="B52" s="9" t="str">
        <x:v>F-5-2</x:v>
      </x:c>
      <x:c r="C52" s="9" t="str">
        <x:v>宿題テンプレート登録・編集</x:v>
      </x:c>
      <x:c r="D52" s="9" t="str">
        <x:v>正常</x:v>
      </x:c>
      <x:c r="E52" s="9" t="str">
        <x:v>admin</x:v>
      </x:c>
      <x:c r="F52" s="9" t="str">
        <x:v>自式場テンプレート</x:v>
      </x:c>
      <x:c r="G52" s="9" t="str">
        <x:v>テンプレートを登録し期限/形式/必須/有効を変更</x:v>
      </x:c>
      <x:c r="H52" s="9" t="str">
        <x:v>保存され変更列のみ監査に記録</x:v>
      </x:c>
      <x:c r="I52" s="10"/>
      <x:c r="J52" s="10"/>
      <x:c r="K52" s="10"/>
      <x:c r="L52" s="10"/>
      <x:c r="M52" s="11"/>
      <x:c r="N52" s="10"/>
      <x:c r="O52" s="10"/>
      <x:c r="P52" s="10"/>
      <x:c r="Q52" s="9" t="str">
        <x:v>src/app/(staff)/templates/[templateId]/TemplateForm.tsx
src/app/(staff)/templates/[templateId]/page.tsx</x:v>
      </x:c>
    </x:row>
    <x:row r="53" ht="70" customHeight="1">
      <x:c r="A53" s="8" t="str">
        <x:v>TC-F-5-2-A</x:v>
      </x:c>
      <x:c r="B53" s="8" t="str">
        <x:v>F-5-2</x:v>
      </x:c>
      <x:c r="C53" s="8" t="str">
        <x:v>宿題テンプレート登録・編集</x:v>
      </x:c>
      <x:c r="D53" s="8" t="str">
        <x:v>異常/境界</x:v>
      </x:c>
      <x:c r="E53" s="8" t="str">
        <x:v>admin</x:v>
      </x:c>
      <x:c r="F53" s="8" t="str">
        <x:v>自式場テンプレート</x:v>
      </x:c>
      <x:c r="G53" s="8" t="str">
        <x:v>planner・空名・負の逆算日数で保存</x:v>
      </x:c>
      <x:c r="H53" s="8" t="str">
        <x:v>不正入力/権限を拒否する</x:v>
      </x:c>
      <x:c r="I53" s="10"/>
      <x:c r="J53" s="10"/>
      <x:c r="K53" s="10"/>
      <x:c r="L53" s="10"/>
      <x:c r="M53" s="11"/>
      <x:c r="N53" s="10"/>
      <x:c r="O53" s="10"/>
      <x:c r="P53" s="10"/>
      <x:c r="Q53" s="8" t="str">
        <x:v>src/app/(staff)/templates/[templateId]/TemplateForm.tsx
src/app/(staff)/templates/[templateId]/page.tsx</x:v>
      </x:c>
    </x:row>
    <x:row r="54" ht="55" customHeight="1">
      <x:c r="A54" s="9" t="str">
        <x:v>TC-F-5-3-N</x:v>
      </x:c>
      <x:c r="B54" s="9" t="str">
        <x:v>F-5-3</x:v>
      </x:c>
      <x:c r="C54" s="9" t="str">
        <x:v>プラン種別・テンプレートセット</x:v>
      </x:c>
      <x:c r="D54" s="9" t="str">
        <x:v>正常</x:v>
      </x:c>
      <x:c r="E54" s="9" t="str">
        <x:v>admin</x:v>
      </x:c>
      <x:c r="F54" s="9" t="str">
        <x:v>プランとテンプレート2件</x:v>
      </x:c>
      <x:c r="G54" s="9" t="str">
        <x:v>プランへテンプレートを追加/削除/並替</x:v>
      </x:c>
      <x:c r="H54" s="9" t="str">
        <x:v>差分が保存され既存割当は重複しない</x:v>
      </x:c>
      <x:c r="I54" s="10"/>
      <x:c r="J54" s="10"/>
      <x:c r="K54" s="10"/>
      <x:c r="L54" s="10"/>
      <x:c r="M54" s="11"/>
      <x:c r="N54" s="10"/>
      <x:c r="O54" s="10"/>
      <x:c r="P54" s="10"/>
      <x:c r="Q54" s="9" t="str">
        <x:v>src/app/(staff)/plan-types/page.tsx
src/app/(staff)/plan-types/PlanTypeForm.tsx</x:v>
      </x:c>
    </x:row>
    <x:row r="55" ht="55" customHeight="1">
      <x:c r="A55" s="8" t="str">
        <x:v>TC-F-5-3-A</x:v>
      </x:c>
      <x:c r="B55" s="8" t="str">
        <x:v>F-5-3</x:v>
      </x:c>
      <x:c r="C55" s="8" t="str">
        <x:v>プラン種別・テンプレートセット</x:v>
      </x:c>
      <x:c r="D55" s="8" t="str">
        <x:v>異常/境界</x:v>
      </x:c>
      <x:c r="E55" s="8" t="str">
        <x:v>admin</x:v>
      </x:c>
      <x:c r="F55" s="8" t="str">
        <x:v>プランとテンプレート2件</x:v>
      </x:c>
      <x:c r="G55" s="8" t="str">
        <x:v>別式場テンプレートを指定</x:v>
      </x:c>
      <x:c r="H55" s="8" t="str">
        <x:v>紐づけを拒否する</x:v>
      </x:c>
      <x:c r="I55" s="10"/>
      <x:c r="J55" s="10"/>
      <x:c r="K55" s="10"/>
      <x:c r="L55" s="10"/>
      <x:c r="M55" s="11"/>
      <x:c r="N55" s="10"/>
      <x:c r="O55" s="10"/>
      <x:c r="P55" s="10"/>
      <x:c r="Q55" s="8" t="str">
        <x:v>src/app/(staff)/plan-types/page.tsx
src/app/(staff)/plan-types/PlanTypeForm.tsx</x:v>
      </x:c>
    </x:row>
    <x:row r="56" ht="70" customHeight="1">
      <x:c r="A56" s="9" t="str">
        <x:v>TC-F-5-4-N</x:v>
      </x:c>
      <x:c r="B56" s="9" t="str">
        <x:v>F-5-4</x:v>
      </x:c>
      <x:c r="C56" s="9" t="str">
        <x:v>案件への宿題一括割当</x:v>
      </x:c>
      <x:c r="D56" s="9" t="str">
        <x:v>正常</x:v>
      </x:c>
      <x:c r="E56" s="9" t="str">
        <x:v>planner</x:v>
      </x:c>
      <x:c r="F56" s="9" t="str">
        <x:v>宿題未割当の担当案件</x:v>
      </x:c>
      <x:c r="G56" s="9" t="str">
        <x:v>選択プランの宿題を一括割当する</x:v>
      </x:c>
      <x:c r="H56" s="9" t="str">
        <x:v>期限/形式/説明をスナップショットして作成</x:v>
      </x:c>
      <x:c r="I56" s="10"/>
      <x:c r="J56" s="10"/>
      <x:c r="K56" s="10"/>
      <x:c r="L56" s="10"/>
      <x:c r="M56" s="11"/>
      <x:c r="N56" s="10"/>
      <x:c r="O56" s="10"/>
      <x:c r="P56" s="10"/>
      <x:c r="Q56" s="9" t="str">
        <x:v>src/app/api/cases/[caseId]/assign-tasks/route.ts
supabase/migrations/20260828000800_case_functions.sql</x:v>
      </x:c>
    </x:row>
    <x:row r="57" ht="70" customHeight="1">
      <x:c r="A57" s="8" t="str">
        <x:v>TC-F-5-4-A</x:v>
      </x:c>
      <x:c r="B57" s="8" t="str">
        <x:v>F-5-4</x:v>
      </x:c>
      <x:c r="C57" s="8" t="str">
        <x:v>案件への宿題一括割当</x:v>
      </x:c>
      <x:c r="D57" s="8" t="str">
        <x:v>異常/境界</x:v>
      </x:c>
      <x:c r="E57" s="8" t="str">
        <x:v>planner</x:v>
      </x:c>
      <x:c r="F57" s="8" t="str">
        <x:v>宿題未割当の担当案件</x:v>
      </x:c>
      <x:c r="G57" s="8" t="str">
        <x:v>同じ割当を再送・途中不正行を含める</x:v>
      </x:c>
      <x:c r="H57" s="8" t="str">
        <x:v>重複/部分作成を防ぐ</x:v>
      </x:c>
      <x:c r="I57" s="10"/>
      <x:c r="J57" s="10"/>
      <x:c r="K57" s="10"/>
      <x:c r="L57" s="10"/>
      <x:c r="M57" s="11"/>
      <x:c r="N57" s="10"/>
      <x:c r="O57" s="10"/>
      <x:c r="P57" s="10"/>
      <x:c r="Q57" s="8" t="str">
        <x:v>src/app/api/cases/[caseId]/assign-tasks/route.ts
supabase/migrations/20260828000800_case_functions.sql</x:v>
      </x:c>
    </x:row>
    <x:row r="58" ht="70" customHeight="1">
      <x:c r="A58" s="9" t="str">
        <x:v>TC-F-5-5-N</x:v>
      </x:c>
      <x:c r="B58" s="9" t="str">
        <x:v>F-5-5</x:v>
      </x:c>
      <x:c r="C58" s="9" t="str">
        <x:v>宿題の追加・期限変更・対応不要</x:v>
      </x:c>
      <x:c r="D58" s="9" t="str">
        <x:v>正常</x:v>
      </x:c>
      <x:c r="E58" s="9" t="str">
        <x:v>planner</x:v>
      </x:c>
      <x:c r="F58" s="9" t="str">
        <x:v>未提出/確認済み宿題</x:v>
      </x:c>
      <x:c r="G58" s="9" t="str">
        <x:v>宿題を追加し期限変更/対応不要を指定</x:v>
      </x:c>
      <x:c r="H58" s="9" t="str">
        <x:v>対象だけ更新し進捗計算へ反映</x:v>
      </x:c>
      <x:c r="I58" s="10"/>
      <x:c r="J58" s="10"/>
      <x:c r="K58" s="10"/>
      <x:c r="L58" s="10"/>
      <x:c r="M58" s="11"/>
      <x:c r="N58" s="10"/>
      <x:c r="O58" s="10"/>
      <x:c r="P58" s="10"/>
      <x:c r="Q58" s="9" t="str">
        <x:v>src/app/(staff)/cases/[caseId]/TaskSection.tsx
src/app/api/cases/[caseId]/tasks/[taskId]/route.ts</x:v>
      </x:c>
    </x:row>
    <x:row r="59" ht="70" customHeight="1">
      <x:c r="A59" s="8" t="str">
        <x:v>TC-F-5-5-A</x:v>
      </x:c>
      <x:c r="B59" s="8" t="str">
        <x:v>F-5-5</x:v>
      </x:c>
      <x:c r="C59" s="8" t="str">
        <x:v>宿題の追加・期限変更・対応不要</x:v>
      </x:c>
      <x:c r="D59" s="8" t="str">
        <x:v>異常/境界</x:v>
      </x:c>
      <x:c r="E59" s="8" t="str">
        <x:v>planner</x:v>
      </x:c>
      <x:c r="F59" s="8" t="str">
        <x:v>未提出/確認済み宿題</x:v>
      </x:c>
      <x:c r="G59" s="8" t="str">
        <x:v>空名・他案件ID・確認済みの不正変更</x:v>
      </x:c>
      <x:c r="H59" s="8" t="str">
        <x:v>入力/権限/状態ガードを守る</x:v>
      </x:c>
      <x:c r="I59" s="10"/>
      <x:c r="J59" s="10"/>
      <x:c r="K59" s="10"/>
      <x:c r="L59" s="10"/>
      <x:c r="M59" s="11"/>
      <x:c r="N59" s="10"/>
      <x:c r="O59" s="10"/>
      <x:c r="P59" s="10"/>
      <x:c r="Q59" s="8" t="str">
        <x:v>src/app/(staff)/cases/[caseId]/TaskSection.tsx
src/app/api/cases/[caseId]/tasks/[taskId]/route.ts</x:v>
      </x:c>
    </x:row>
    <x:row r="60" ht="55" customHeight="1">
      <x:c r="A60" s="9" t="str">
        <x:v>TC-F-6-1-N</x:v>
      </x:c>
      <x:c r="B60" s="9" t="str">
        <x:v>F-6-1</x:v>
      </x:c>
      <x:c r="C60" s="9" t="str">
        <x:v>ルールによるリスク算出・保存</x:v>
      </x:c>
      <x:c r="D60" s="9" t="str">
        <x:v>正常</x:v>
      </x:c>
      <x:c r="E60" s="9" t="str">
        <x:v>内部処理</x:v>
      </x:c>
      <x:c r="F60" s="9" t="str">
        <x:v>既知ルール境界の模擬案件</x:v>
      </x:c>
      <x:c r="G60" s="9" t="str">
        <x:v>npm test -- tests/unit/risk.test.ts tests/db/risk.test.ts</x:v>
      </x:c>
      <x:c r="H60" s="9" t="str">
        <x:v>ルール点数/上限/根拠/保存の期待値と一致</x:v>
      </x:c>
      <x:c r="I60" s="10"/>
      <x:c r="J60" s="10"/>
      <x:c r="K60" s="10"/>
      <x:c r="L60" s="10"/>
      <x:c r="M60" s="11"/>
      <x:c r="N60" s="10"/>
      <x:c r="O60" s="10"/>
      <x:c r="P60" s="10"/>
      <x:c r="Q60" s="9" t="str">
        <x:v>src/lib/services/risk.ts
src/lib/services/riskStore.ts
tests/unit/risk.test.ts</x:v>
      </x:c>
    </x:row>
    <x:row r="61" ht="55" customHeight="1">
      <x:c r="A61" s="8" t="str">
        <x:v>TC-F-6-1-A</x:v>
      </x:c>
      <x:c r="B61" s="8" t="str">
        <x:v>F-6-1</x:v>
      </x:c>
      <x:c r="C61" s="8" t="str">
        <x:v>ルールによるリスク算出・保存</x:v>
      </x:c>
      <x:c r="D61" s="8" t="str">
        <x:v>異常/境界</x:v>
      </x:c>
      <x:c r="E61" s="8" t="str">
        <x:v>内部処理</x:v>
      </x:c>
      <x:c r="F61" s="8" t="str">
        <x:v>既知ルール境界の模擬案件</x:v>
      </x:c>
      <x:c r="G61" s="8" t="str">
        <x:v>期限閾値の直前/一致/直後と無効ルール</x:v>
      </x:c>
      <x:c r="H61" s="8" t="str">
        <x:v>各境界の結果が期待値どおり</x:v>
      </x:c>
      <x:c r="I61" s="10"/>
      <x:c r="J61" s="10"/>
      <x:c r="K61" s="10"/>
      <x:c r="L61" s="10"/>
      <x:c r="M61" s="11"/>
      <x:c r="N61" s="10"/>
      <x:c r="O61" s="10"/>
      <x:c r="P61" s="10"/>
      <x:c r="Q61" s="8" t="str">
        <x:v>src/lib/services/risk.ts
src/lib/services/riskStore.ts
tests/unit/risk.test.ts</x:v>
      </x:c>
    </x:row>
    <x:row r="62" ht="55" customHeight="1">
      <x:c r="A62" s="9" t="str">
        <x:v>TC-F-6-2-N</x:v>
      </x:c>
      <x:c r="B62" s="9" t="str">
        <x:v>F-6-2</x:v>
      </x:c>
      <x:c r="C62" s="9" t="str">
        <x:v>リスクスコア・根拠の表示</x:v>
      </x:c>
      <x:c r="D62" s="9" t="str">
        <x:v>正常</x:v>
      </x:c>
      <x:c r="E62" s="9" t="str">
        <x:v>planner/admin</x:v>
      </x:c>
      <x:c r="F62" s="9" t="str">
        <x:v>リスク算出済み案件</x:v>
      </x:c>
      <x:c r="G62" s="9" t="str">
        <x:v>一覧/詳細のスコア/根拠を照合</x:v>
      </x:c>
      <x:c r="H62" s="9" t="str">
        <x:v>数値/色/根拠が同じ保存結果と一致</x:v>
      </x:c>
      <x:c r="I62" s="10"/>
      <x:c r="J62" s="10"/>
      <x:c r="K62" s="10"/>
      <x:c r="L62" s="10"/>
      <x:c r="M62" s="11"/>
      <x:c r="N62" s="10"/>
      <x:c r="O62" s="10"/>
      <x:c r="P62" s="10"/>
      <x:c r="Q62" s="9" t="str">
        <x:v>src/app/(staff)/cases/[caseId]/RiskSection.tsx
src/components/ui/RiskBadge.tsx</x:v>
      </x:c>
    </x:row>
    <x:row r="63" ht="55" customHeight="1">
      <x:c r="A63" s="8" t="str">
        <x:v>TC-F-6-2-A</x:v>
      </x:c>
      <x:c r="B63" s="8" t="str">
        <x:v>F-6-2</x:v>
      </x:c>
      <x:c r="C63" s="8" t="str">
        <x:v>リスクスコア・根拠の表示</x:v>
      </x:c>
      <x:c r="D63" s="8" t="str">
        <x:v>異常/境界</x:v>
      </x:c>
      <x:c r="E63" s="8" t="str">
        <x:v>planner/admin</x:v>
      </x:c>
      <x:c r="F63" s="8" t="str">
        <x:v>リスク算出済み案件</x:v>
      </x:c>
      <x:c r="G63" s="8" t="str">
        <x:v>スコア未算出の案件を開く</x:v>
      </x:c>
      <x:c r="H63" s="8" t="str">
        <x:v>未算出を0点と混同しない</x:v>
      </x:c>
      <x:c r="I63" s="10"/>
      <x:c r="J63" s="10"/>
      <x:c r="K63" s="10"/>
      <x:c r="L63" s="10"/>
      <x:c r="M63" s="11"/>
      <x:c r="N63" s="10"/>
      <x:c r="O63" s="10"/>
      <x:c r="P63" s="10"/>
      <x:c r="Q63" s="8" t="str">
        <x:v>src/app/(staff)/cases/[caseId]/RiskSection.tsx
src/components/ui/RiskBadge.tsx</x:v>
      </x:c>
    </x:row>
    <x:row r="64" ht="55" customHeight="1">
      <x:c r="A64" s="9" t="str">
        <x:v>TC-F-6-3-N</x:v>
      </x:c>
      <x:c r="B64" s="9" t="str">
        <x:v>F-6-3</x:v>
      </x:c>
      <x:c r="C64" s="9" t="str">
        <x:v>coupleからリスクを隠す</x:v>
      </x:c>
      <x:c r="D64" s="9" t="str">
        <x:v>正常</x:v>
      </x:c>
      <x:c r="E64" s="9" t="str">
        <x:v>couple</x:v>
      </x:c>
      <x:c r="F64" s="9" t="str">
        <x:v>自案件にリスク情報あり</x:v>
      </x:c>
      <x:c r="G64" s="9" t="str">
        <x:v>画面とAPI/RLSでリスクの取得を試す</x:v>
      </x:c>
      <x:c r="H64" s="9" t="str">
        <x:v>coupleは数値/内部根拠を閲覧できない</x:v>
      </x:c>
      <x:c r="I64" s="10"/>
      <x:c r="J64" s="10"/>
      <x:c r="K64" s="10"/>
      <x:c r="L64" s="10"/>
      <x:c r="M64" s="11"/>
      <x:c r="N64" s="10"/>
      <x:c r="O64" s="10"/>
      <x:c r="P64" s="10"/>
      <x:c r="Q64" s="9" t="str">
        <x:v>supabase/migrations/20260828000500_rls_policies.sql
tests/db/risk.test.ts</x:v>
      </x:c>
    </x:row>
    <x:row r="65" ht="55" customHeight="1">
      <x:c r="A65" s="8" t="str">
        <x:v>TC-F-6-3-A</x:v>
      </x:c>
      <x:c r="B65" s="8" t="str">
        <x:v>F-6-3</x:v>
      </x:c>
      <x:c r="C65" s="8" t="str">
        <x:v>coupleからリスクを隠す</x:v>
      </x:c>
      <x:c r="D65" s="8" t="str">
        <x:v>異常/境界</x:v>
      </x:c>
      <x:c r="E65" s="8" t="str">
        <x:v>couple</x:v>
      </x:c>
      <x:c r="F65" s="8" t="str">
        <x:v>自案件にリスク情報あり</x:v>
      </x:c>
      <x:c r="G65" s="8" t="str">
        <x:v>staff用URLを直接開く</x:v>
      </x:c>
      <x:c r="H65" s="8" t="str">
        <x:v>権限拒否し応答にも含めない</x:v>
      </x:c>
      <x:c r="I65" s="10"/>
      <x:c r="J65" s="10"/>
      <x:c r="K65" s="10"/>
      <x:c r="L65" s="10"/>
      <x:c r="M65" s="11"/>
      <x:c r="N65" s="10"/>
      <x:c r="O65" s="10"/>
      <x:c r="P65" s="10"/>
      <x:c r="Q65" s="8" t="str">
        <x:v>supabase/migrations/20260828000500_rls_policies.sql
tests/db/risk.test.ts</x:v>
      </x:c>
    </x:row>
    <x:row r="66" ht="70" customHeight="1">
      <x:c r="A66" s="9" t="str">
        <x:v>TC-F-7-1-N</x:v>
      </x:c>
      <x:c r="B66" s="9" t="str">
        <x:v>F-7-1</x:v>
      </x:c>
      <x:c r="C66" s="9" t="str">
        <x:v>重要通知・LINE上限・メール代替</x:v>
      </x:c>
      <x:c r="D66" s="9" t="str">
        <x:v>正常</x:v>
      </x:c>
      <x:c r="E66" s="9" t="str">
        <x:v>内部処理</x:v>
      </x:c>
      <x:c r="F66" s="9" t="str">
        <x:v>メール/LINEを模擬化</x:v>
      </x:c>
      <x:c r="G66" s="9" t="str">
        <x:v>npm test -- tests/unit/line.test.ts tests/db/notifications.test.ts</x:v>
      </x:c>
      <x:c r="H66" s="9" t="str">
        <x:v>重要通知/上限/代替経路を期待どおり選択</x:v>
      </x:c>
      <x:c r="I66" s="10"/>
      <x:c r="J66" s="10"/>
      <x:c r="K66" s="10"/>
      <x:c r="L66" s="10"/>
      <x:c r="M66" s="11"/>
      <x:c r="N66" s="10"/>
      <x:c r="O66" s="10"/>
      <x:c r="P66" s="10"/>
      <x:c r="Q66" s="9" t="str">
        <x:v>src/lib/services/notifications.ts
src/lib/notify/send.ts
supabase/migrations/20260828001300_notification_functions.sql</x:v>
      </x:c>
    </x:row>
    <x:row r="67" ht="70" customHeight="1">
      <x:c r="A67" s="8" t="str">
        <x:v>TC-F-7-1-A</x:v>
      </x:c>
      <x:c r="B67" s="8" t="str">
        <x:v>F-7-1</x:v>
      </x:c>
      <x:c r="C67" s="8" t="str">
        <x:v>重要通知・LINE上限・メール代替</x:v>
      </x:c>
      <x:c r="D67" s="8" t="str">
        <x:v>異常/境界</x:v>
      </x:c>
      <x:c r="E67" s="8" t="str">
        <x:v>内部処理</x:v>
      </x:c>
      <x:c r="F67" s="8" t="str">
        <x:v>メール/LINEを模擬化</x:v>
      </x:c>
      <x:c r="G67" s="8" t="str">
        <x:v>送信失敗・上限一致・重複起動を注入</x:v>
      </x:c>
      <x:c r="H67" s="8" t="str">
        <x:v>誤成功/二重送信を防ぎ失敗/代替を記録</x:v>
      </x:c>
      <x:c r="I67" s="10"/>
      <x:c r="J67" s="10"/>
      <x:c r="K67" s="10"/>
      <x:c r="L67" s="10"/>
      <x:c r="M67" s="11"/>
      <x:c r="N67" s="10"/>
      <x:c r="O67" s="10"/>
      <x:c r="P67" s="10"/>
      <x:c r="Q67" s="8" t="str">
        <x:v>src/lib/services/notifications.ts
src/lib/notify/send.ts
supabase/migrations/20260828001300_notification_functions.sql</x:v>
      </x:c>
    </x:row>
    <x:row r="68" ht="40" customHeight="1">
      <x:c r="A68" s="9" t="str">
        <x:v>TC-F-7-2-N</x:v>
      </x:c>
      <x:c r="B68" s="9" t="str">
        <x:v>F-7-2</x:v>
      </x:c>
      <x:c r="C68" s="9" t="str">
        <x:v>マイページ内通知</x:v>
      </x:c>
      <x:c r="D68" s="9" t="str">
        <x:v>正常</x:v>
      </x:c>
      <x:c r="E68" s="9" t="str">
        <x:v>couple</x:v>
      </x:c>
      <x:c r="F68" s="9" t="str">
        <x:v>マイページ通知データあり</x:v>
      </x:c>
      <x:c r="G68" s="9" t="str">
        <x:v>通知一覧と件数を表示</x:v>
      </x:c>
      <x:c r="H68" s="9" t="str">
        <x:v>本人の通知のみ表示する</x:v>
      </x:c>
      <x:c r="I68" s="10"/>
      <x:c r="J68" s="10"/>
      <x:c r="K68" s="10"/>
      <x:c r="L68" s="10"/>
      <x:c r="M68" s="11"/>
      <x:c r="N68" s="10"/>
      <x:c r="O68" s="10"/>
      <x:c r="P68" s="10"/>
      <x:c r="Q68" s="9" t="str">
        <x:v>src/app/api/notifications/route.ts
src/lib/services/notifications.ts</x:v>
      </x:c>
    </x:row>
    <x:row r="69" ht="40" customHeight="1">
      <x:c r="A69" s="8" t="str">
        <x:v>TC-F-7-2-A</x:v>
      </x:c>
      <x:c r="B69" s="8" t="str">
        <x:v>F-7-2</x:v>
      </x:c>
      <x:c r="C69" s="8" t="str">
        <x:v>マイページ内通知</x:v>
      </x:c>
      <x:c r="D69" s="8" t="str">
        <x:v>異常/境界</x:v>
      </x:c>
      <x:c r="E69" s="8" t="str">
        <x:v>couple</x:v>
      </x:c>
      <x:c r="F69" s="8" t="str">
        <x:v>マイページ通知データあり</x:v>
      </x:c>
      <x:c r="G69" s="8" t="str">
        <x:v>未認証/他案件/0件を確認</x:v>
      </x:c>
      <x:c r="H69" s="8" t="str">
        <x:v>情報を漏らさず適切な空/認証表示</x:v>
      </x:c>
      <x:c r="I69" s="10"/>
      <x:c r="J69" s="10"/>
      <x:c r="K69" s="10"/>
      <x:c r="L69" s="10"/>
      <x:c r="M69" s="11"/>
      <x:c r="N69" s="10"/>
      <x:c r="O69" s="10"/>
      <x:c r="P69" s="10"/>
      <x:c r="Q69" s="8" t="str">
        <x:v>src/app/api/notifications/route.ts
src/lib/services/notifications.ts</x:v>
      </x:c>
    </x:row>
    <x:row r="70" ht="40" customHeight="1">
      <x:c r="A70" s="9" t="str">
        <x:v>TC-F-7-3-N</x:v>
      </x:c>
      <x:c r="B70" s="9" t="str">
        <x:v>F-7-3</x:v>
      </x:c>
      <x:c r="C70" s="9" t="str">
        <x:v>通知履歴・送信結果</x:v>
      </x:c>
      <x:c r="D70" s="9" t="str">
        <x:v>正常</x:v>
      </x:c>
      <x:c r="E70" s="9" t="str">
        <x:v>planner/admin</x:v>
      </x:c>
      <x:c r="F70" s="9" t="str">
        <x:v>成功/失敗の模擬送信ログ</x:v>
      </x:c>
      <x:c r="G70" s="9" t="str">
        <x:v>通知履歴を絞り込み送信結果を確認</x:v>
      </x:c>
      <x:c r="H70" s="9" t="str">
        <x:v>日時/結果/試行と絞込が一致する</x:v>
      </x:c>
      <x:c r="I70" s="10"/>
      <x:c r="J70" s="10"/>
      <x:c r="K70" s="10"/>
      <x:c r="L70" s="10"/>
      <x:c r="M70" s="11"/>
      <x:c r="N70" s="10"/>
      <x:c r="O70" s="10"/>
      <x:c r="P70" s="10"/>
      <x:c r="Q70" s="9" t="str">
        <x:v>src/app/(staff)/notifications/page.tsx
src/lib/services/notifications.ts</x:v>
      </x:c>
    </x:row>
    <x:row r="71" ht="40" customHeight="1">
      <x:c r="A71" s="8" t="str">
        <x:v>TC-F-7-3-A</x:v>
      </x:c>
      <x:c r="B71" s="8" t="str">
        <x:v>F-7-3</x:v>
      </x:c>
      <x:c r="C71" s="8" t="str">
        <x:v>通知履歴・送信結果</x:v>
      </x:c>
      <x:c r="D71" s="8" t="str">
        <x:v>異常/境界</x:v>
      </x:c>
      <x:c r="E71" s="8" t="str">
        <x:v>planner/admin</x:v>
      </x:c>
      <x:c r="F71" s="8" t="str">
        <x:v>成功/失敗の模擬送信ログ</x:v>
      </x:c>
      <x:c r="G71" s="8" t="str">
        <x:v>対象期間境界・他式場・0件を確認</x:v>
      </x:c>
      <x:c r="H71" s="8" t="str">
        <x:v>境界を正しく含め権限外を除外</x:v>
      </x:c>
      <x:c r="I71" s="10"/>
      <x:c r="J71" s="10"/>
      <x:c r="K71" s="10"/>
      <x:c r="L71" s="10"/>
      <x:c r="M71" s="11"/>
      <x:c r="N71" s="10"/>
      <x:c r="O71" s="10"/>
      <x:c r="P71" s="10"/>
      <x:c r="Q71" s="8" t="str">
        <x:v>src/app/(staff)/notifications/page.tsx
src/lib/services/notifications.ts</x:v>
      </x:c>
    </x:row>
    <x:row r="72" ht="55" customHeight="1">
      <x:c r="A72" s="9" t="str">
        <x:v>TC-F-8-1-N</x:v>
      </x:c>
      <x:c r="B72" s="9" t="str">
        <x:v>F-8-1</x:v>
      </x:c>
      <x:c r="C72" s="9" t="str">
        <x:v>利用者・式場一覧</x:v>
      </x:c>
      <x:c r="D72" s="9" t="str">
        <x:v>正常</x:v>
      </x:c>
      <x:c r="E72" s="9" t="str">
        <x:v>admin/system_admin</x:v>
      </x:c>
      <x:c r="F72" s="9" t="str">
        <x:v>複数式場と各ロール</x:v>
      </x:c>
      <x:c r="G72" s="9" t="str">
        <x:v>利用者/式場一覧を開く</x:v>
      </x:c>
      <x:c r="H72" s="9" t="str">
        <x:v>adminは自式場、system_adminは管理対象を表示</x:v>
      </x:c>
      <x:c r="I72" s="10"/>
      <x:c r="J72" s="10"/>
      <x:c r="K72" s="10"/>
      <x:c r="L72" s="10"/>
      <x:c r="M72" s="11"/>
      <x:c r="N72" s="10"/>
      <x:c r="O72" s="10"/>
      <x:c r="P72" s="10"/>
      <x:c r="Q72" s="9" t="str">
        <x:v>src/lib/services/users.ts
src/app/(staff)/users/page.tsx
src/app/(staff)/venues/page.tsx</x:v>
      </x:c>
    </x:row>
    <x:row r="73" ht="55" customHeight="1">
      <x:c r="A73" s="8" t="str">
        <x:v>TC-F-8-1-A</x:v>
      </x:c>
      <x:c r="B73" s="8" t="str">
        <x:v>F-8-1</x:v>
      </x:c>
      <x:c r="C73" s="8" t="str">
        <x:v>利用者・式場一覧</x:v>
      </x:c>
      <x:c r="D73" s="8" t="str">
        <x:v>異常/境界</x:v>
      </x:c>
      <x:c r="E73" s="8" t="str">
        <x:v>admin/system_admin</x:v>
      </x:c>
      <x:c r="F73" s="8" t="str">
        <x:v>複数式場と各ロール</x:v>
      </x:c>
      <x:c r="G73" s="8" t="str">
        <x:v>planner/coupleで管理画面を開く</x:v>
      </x:c>
      <x:c r="H73" s="8" t="str">
        <x:v>管理情報を表示しない</x:v>
      </x:c>
      <x:c r="I73" s="10"/>
      <x:c r="J73" s="10"/>
      <x:c r="K73" s="10"/>
      <x:c r="L73" s="10"/>
      <x:c r="M73" s="11"/>
      <x:c r="N73" s="10"/>
      <x:c r="O73" s="10"/>
      <x:c r="P73" s="10"/>
      <x:c r="Q73" s="8" t="str">
        <x:v>src/lib/services/users.ts
src/app/(staff)/users/page.tsx
src/app/(staff)/venues/page.tsx</x:v>
      </x:c>
    </x:row>
    <x:row r="74" ht="40" customHeight="1">
      <x:c r="A74" s="9" t="str">
        <x:v>TC-F-8-2-N</x:v>
      </x:c>
      <x:c r="B74" s="9" t="str">
        <x:v>F-8-2</x:v>
      </x:c>
      <x:c r="C74" s="9" t="str">
        <x:v>利用者・式場の登録</x:v>
      </x:c>
      <x:c r="D74" s="9" t="str">
        <x:v>正常</x:v>
      </x:c>
      <x:c r="E74" s="9" t="str">
        <x:v>admin/system_admin</x:v>
      </x:c>
      <x:c r="F74" s="9" t="str">
        <x:v>模擬メール送信設定</x:v>
      </x:c>
      <x:c r="G74" s="9" t="str">
        <x:v>利用者/式場を登録する</x:v>
      </x:c>
      <x:c r="H74" s="9" t="str">
        <x:v>役割/式場が呼出権限で固定され初回設定導線を出す</x:v>
      </x:c>
      <x:c r="I74" s="10"/>
      <x:c r="J74" s="10"/>
      <x:c r="K74" s="10"/>
      <x:c r="L74" s="10"/>
      <x:c r="M74" s="11"/>
      <x:c r="N74" s="10"/>
      <x:c r="O74" s="10"/>
      <x:c r="P74" s="10"/>
      <x:c r="Q74" s="9" t="str">
        <x:v>src/app/api/admin/users/route.ts
src/app/api/venues/route.ts</x:v>
      </x:c>
    </x:row>
    <x:row r="75" ht="40" customHeight="1">
      <x:c r="A75" s="8" t="str">
        <x:v>TC-F-8-2-A</x:v>
      </x:c>
      <x:c r="B75" s="8" t="str">
        <x:v>F-8-2</x:v>
      </x:c>
      <x:c r="C75" s="8" t="str">
        <x:v>利用者・式場の登録</x:v>
      </x:c>
      <x:c r="D75" s="8" t="str">
        <x:v>異常/境界</x:v>
      </x:c>
      <x:c r="E75" s="8" t="str">
        <x:v>admin/system_admin</x:v>
      </x:c>
      <x:c r="F75" s="8" t="str">
        <x:v>模擬メール送信設定</x:v>
      </x:c>
      <x:c r="G75" s="8" t="str">
        <x:v>重複コード/メール・任意role昇格を試す</x:v>
      </x:c>
      <x:c r="H75" s="8" t="str">
        <x:v>重複/権限外を拒否し孤児Authを残さない</x:v>
      </x:c>
      <x:c r="I75" s="10"/>
      <x:c r="J75" s="10"/>
      <x:c r="K75" s="10"/>
      <x:c r="L75" s="10"/>
      <x:c r="M75" s="11"/>
      <x:c r="N75" s="10"/>
      <x:c r="O75" s="10"/>
      <x:c r="P75" s="10"/>
      <x:c r="Q75" s="8" t="str">
        <x:v>src/app/api/admin/users/route.ts
src/app/api/venues/route.ts</x:v>
      </x:c>
    </x:row>
    <x:row r="76" ht="145" customHeight="1">
      <x:c r="A76" s="9" t="str">
        <x:v>TC-F-8-3-N</x:v>
      </x:c>
      <x:c r="B76" s="9" t="str">
        <x:v>F-8-3</x:v>
      </x:c>
      <x:c r="C76" s="9" t="str">
        <x:v>利用者・式場の変更</x:v>
      </x:c>
      <x:c r="D76" s="9" t="str">
        <x:v>正常</x:v>
      </x:c>
      <x:c r="E76" s="9" t="str">
        <x:v>admin/system_admin</x:v>
      </x:c>
      <x:c r="F76" s="9" t="str">
        <x:v>模擬管理対象</x:v>
      </x:c>
      <x:c r="G76" s="9" t="str">
        <x:v>名称/連絡先/有効状態を更新し再読込</x:v>
      </x:c>
      <x:c r="H76" s="9" t="str">
        <x:v>保存内容が維持され対象ID/変更列を監査</x:v>
      </x:c>
      <x:c r="I76" s="10"/>
      <x:c r="J76" s="10"/>
      <x:c r="K76" s="10"/>
      <x:c r="L76" s="10"/>
      <x:c r="M76" s="11"/>
      <x:c r="N76" s="10"/>
      <x:c r="O76" s="10"/>
      <x:c r="P76" s="10"/>
      <x:c r="Q76" s="9" t="str">
        <x:v>src/app/api/admin/users/[userId]/route.ts
src/app/api/venues/route.ts
src/app/(staff)/venues/page.tsx
src/app/(staff)/venues/[venueId]/page.tsx
src/app/(staff)/venues/[venueId]/VenueEditForm.tsx
src/app/api/venues/[venueId]/route.ts
tests/e2e/venue-edit.spec.ts
docs/動作確認_式場編集.md</x:v>
      </x:c>
    </x:row>
    <x:row r="77" ht="145" customHeight="1">
      <x:c r="A77" s="8" t="str">
        <x:v>TC-F-8-3-A</x:v>
      </x:c>
      <x:c r="B77" s="8" t="str">
        <x:v>F-8-3</x:v>
      </x:c>
      <x:c r="C77" s="8" t="str">
        <x:v>利用者・式場の変更</x:v>
      </x:c>
      <x:c r="D77" s="8" t="str">
        <x:v>異常/境界</x:v>
      </x:c>
      <x:c r="E77" s="8" t="str">
        <x:v>admin/system_admin</x:v>
      </x:c>
      <x:c r="F77" s="8" t="str">
        <x:v>模擬管理対象</x:v>
      </x:c>
      <x:c r="G77" s="8" t="str">
        <x:v>改ざんID・過大入力・通信失敗を試す</x:v>
      </x:c>
      <x:c r="H77" s="8" t="str">
        <x:v>不正更新を拒否し秘密を露出しない</x:v>
      </x:c>
      <x:c r="I77" s="10"/>
      <x:c r="J77" s="10"/>
      <x:c r="K77" s="10"/>
      <x:c r="L77" s="10"/>
      <x:c r="M77" s="11"/>
      <x:c r="N77" s="10"/>
      <x:c r="O77" s="10"/>
      <x:c r="P77" s="10"/>
      <x:c r="Q77" s="8" t="str">
        <x:v>src/app/api/admin/users/[userId]/route.ts
src/app/api/venues/route.ts
src/app/(staff)/venues/page.tsx
src/app/(staff)/venues/[venueId]/page.tsx
src/app/(staff)/venues/[venueId]/VenueEditForm.tsx
src/app/api/venues/[venueId]/route.ts
tests/e2e/venue-edit.spec.ts
docs/動作確認_式場編集.md</x:v>
      </x:c>
    </x:row>
    <x:row r="78" ht="40" customHeight="1">
      <x:c r="A78" s="9" t="str">
        <x:v>TC-F-8-4-N</x:v>
      </x:c>
      <x:c r="B78" s="9" t="str">
        <x:v>F-8-4</x:v>
      </x:c>
      <x:c r="C78" s="9" t="str">
        <x:v>利用者の停止・論理削除・引継ぎ</x:v>
      </x:c>
      <x:c r="D78" s="9" t="str">
        <x:v>正常</x:v>
      </x:c>
      <x:c r="E78" s="9" t="str">
        <x:v>admin</x:v>
      </x:c>
      <x:c r="F78" s="9" t="str">
        <x:v>担当案件ありplannerと引継先</x:v>
      </x:c>
      <x:c r="G78" s="9" t="str">
        <x:v>同式場の引継先を指定して停止/論理削除</x:v>
      </x:c>
      <x:c r="H78" s="9" t="str">
        <x:v>担当を移しログイン停止、監査を残す</x:v>
      </x:c>
      <x:c r="I78" s="10"/>
      <x:c r="J78" s="10"/>
      <x:c r="K78" s="10"/>
      <x:c r="L78" s="10"/>
      <x:c r="M78" s="11"/>
      <x:c r="N78" s="10"/>
      <x:c r="O78" s="10"/>
      <x:c r="P78" s="10"/>
      <x:c r="Q78" s="9" t="str">
        <x:v>src/app/api/admin/users/[userId]/route.ts
src/app/(staff)/users/UserTable.tsx</x:v>
      </x:c>
    </x:row>
    <x:row r="79" ht="40" customHeight="1">
      <x:c r="A79" s="8" t="str">
        <x:v>TC-F-8-4-A</x:v>
      </x:c>
      <x:c r="B79" s="8" t="str">
        <x:v>F-8-4</x:v>
      </x:c>
      <x:c r="C79" s="8" t="str">
        <x:v>利用者の停止・論理削除・引継ぎ</x:v>
      </x:c>
      <x:c r="D79" s="8" t="str">
        <x:v>異常/境界</x:v>
      </x:c>
      <x:c r="E79" s="8" t="str">
        <x:v>admin</x:v>
      </x:c>
      <x:c r="F79" s="8" t="str">
        <x:v>担当案件ありplannerと引継先</x:v>
      </x:c>
      <x:c r="G79" s="8" t="str">
        <x:v>自分削除・引継なし・他式場引継先</x:v>
      </x:c>
      <x:c r="H79" s="8" t="str">
        <x:v>拒否し担当不在を作らない</x:v>
      </x:c>
      <x:c r="I79" s="10"/>
      <x:c r="J79" s="10"/>
      <x:c r="K79" s="10"/>
      <x:c r="L79" s="10"/>
      <x:c r="M79" s="11"/>
      <x:c r="N79" s="10"/>
      <x:c r="O79" s="10"/>
      <x:c r="P79" s="10"/>
      <x:c r="Q79" s="8" t="str">
        <x:v>src/app/api/admin/users/[userId]/route.ts
src/app/(staff)/users/UserTable.tsx</x:v>
      </x:c>
    </x:row>
    <x:row r="80" ht="55" customHeight="1">
      <x:c r="A80" s="9" t="str">
        <x:v>TC-F-8-5-N</x:v>
      </x:c>
      <x:c r="B80" s="9" t="str">
        <x:v>F-8-5</x:v>
      </x:c>
      <x:c r="C80" s="9" t="str">
        <x:v>システム利用状況・通知ログ・CSV</x:v>
      </x:c>
      <x:c r="D80" s="9" t="str">
        <x:v>正常</x:v>
      </x:c>
      <x:c r="E80" s="9" t="str">
        <x:v>system_admin</x:v>
      </x:c>
      <x:c r="F80" s="9" t="str">
        <x:v>容量/バッチ/通知の模擬記録</x:v>
      </x:c>
      <x:c r="G80" s="9" t="str">
        <x:v>system画面とCSV出力を確認</x:v>
      </x:c>
      <x:c r="H80" s="9" t="str">
        <x:v>集計と期間/件数/CSV列が対応する</x:v>
      </x:c>
      <x:c r="I80" s="10"/>
      <x:c r="J80" s="10"/>
      <x:c r="K80" s="10"/>
      <x:c r="L80" s="10"/>
      <x:c r="M80" s="11"/>
      <x:c r="N80" s="10"/>
      <x:c r="O80" s="10"/>
      <x:c r="P80" s="10"/>
      <x:c r="Q80" s="9" t="str">
        <x:v>src/app/(staff)/system/page.tsx
src/app/api/system/notification-logs.csv/route.ts</x:v>
      </x:c>
    </x:row>
    <x:row r="81" ht="55" customHeight="1">
      <x:c r="A81" s="8" t="str">
        <x:v>TC-F-8-5-A</x:v>
      </x:c>
      <x:c r="B81" s="8" t="str">
        <x:v>F-8-5</x:v>
      </x:c>
      <x:c r="C81" s="8" t="str">
        <x:v>システム利用状況・通知ログ・CSV</x:v>
      </x:c>
      <x:c r="D81" s="8" t="str">
        <x:v>異常/境界</x:v>
      </x:c>
      <x:c r="E81" s="8" t="str">
        <x:v>system_admin</x:v>
      </x:c>
      <x:c r="F81" s="8" t="str">
        <x:v>容量/バッチ/通知の模擬記録</x:v>
      </x:c>
      <x:c r="G81" s="8" t="str">
        <x:v>0件/CSV式文字/権限外出力を試す</x:v>
      </x:c>
      <x:c r="H81" s="8" t="str">
        <x:v>未取得を0扱いせずCSV式注入/権限漏れを防ぐ</x:v>
      </x:c>
      <x:c r="I81" s="10"/>
      <x:c r="J81" s="10"/>
      <x:c r="K81" s="10"/>
      <x:c r="L81" s="10"/>
      <x:c r="M81" s="11"/>
      <x:c r="N81" s="10"/>
      <x:c r="O81" s="10"/>
      <x:c r="P81" s="10"/>
      <x:c r="Q81" s="8" t="str">
        <x:v>src/app/(staff)/system/page.tsx
src/app/api/system/notification-logs.csv/route.ts</x:v>
      </x:c>
    </x:row>
    <x:row r="82" ht="70" customHeight="1">
      <x:c r="A82" s="9" t="str">
        <x:v>TC-F-9-1-N</x:v>
      </x:c>
      <x:c r="B82" s="9" t="str">
        <x:v>F-9-1</x:v>
      </x:c>
      <x:c r="C82" s="9" t="str">
        <x:v>自由記述分類と修正・採用</x:v>
      </x:c>
      <x:c r="D82" s="9" t="str">
        <x:v>正常</x:v>
      </x:c>
      <x:c r="E82" s="9" t="str">
        <x:v>planner</x:v>
      </x:c>
      <x:c r="F82" s="9" t="str">
        <x:v>匿名自由記述+模擬AI結果</x:v>
      </x:c>
      <x:c r="G82" s="9" t="str">
        <x:v>分類を提案し修正して採用</x:v>
      </x:c>
      <x:c r="H82" s="9" t="str">
        <x:v>人が採用するまで正本を変えない</x:v>
      </x:c>
      <x:c r="I82" s="10"/>
      <x:c r="J82" s="10"/>
      <x:c r="K82" s="10"/>
      <x:c r="L82" s="10"/>
      <x:c r="M82" s="11"/>
      <x:c r="N82" s="10"/>
      <x:c r="O82" s="10"/>
      <x:c r="P82" s="10"/>
      <x:c r="Q82" s="9" t="str">
        <x:v>src/app/(staff)/submissions/[submissionId]/ClassificationPanel.tsx
supabase/migrations/20260828001800_ai_assist.sql</x:v>
      </x:c>
    </x:row>
    <x:row r="83" ht="70" customHeight="1">
      <x:c r="A83" s="8" t="str">
        <x:v>TC-F-9-1-A</x:v>
      </x:c>
      <x:c r="B83" s="8" t="str">
        <x:v>F-9-1</x:v>
      </x:c>
      <x:c r="C83" s="8" t="str">
        <x:v>自由記述分類と修正・採用</x:v>
      </x:c>
      <x:c r="D83" s="8" t="str">
        <x:v>異常/境界</x:v>
      </x:c>
      <x:c r="E83" s="8" t="str">
        <x:v>planner</x:v>
      </x:c>
      <x:c r="F83" s="8" t="str">
        <x:v>匿名自由記述+模擬AI結果</x:v>
      </x:c>
      <x:c r="G83" s="8" t="str">
        <x:v>AI停止/不正JSON/破棄を試す</x:v>
      </x:c>
      <x:c r="H83" s="8" t="str">
        <x:v>手動確認を継続し勝手に確定しない</x:v>
      </x:c>
      <x:c r="I83" s="10"/>
      <x:c r="J83" s="10"/>
      <x:c r="K83" s="10"/>
      <x:c r="L83" s="10"/>
      <x:c r="M83" s="11"/>
      <x:c r="N83" s="10"/>
      <x:c r="O83" s="10"/>
      <x:c r="P83" s="10"/>
      <x:c r="Q83" s="8" t="str">
        <x:v>src/app/(staff)/submissions/[submissionId]/ClassificationPanel.tsx
supabase/migrations/20260828001800_ai_assist.sql</x:v>
      </x:c>
    </x:row>
    <x:row r="84" ht="70" customHeight="1">
      <x:c r="A84" s="9" t="str">
        <x:v>TC-F-9-2-N</x:v>
      </x:c>
      <x:c r="B84" s="9" t="str">
        <x:v>F-9-2</x:v>
      </x:c>
      <x:c r="C84" s="9" t="str">
        <x:v>準備シート下書きと採用</x:v>
      </x:c>
      <x:c r="D84" s="9" t="str">
        <x:v>正常</x:v>
      </x:c>
      <x:c r="E84" s="9" t="str">
        <x:v>planner</x:v>
      </x:c>
      <x:c r="F84" s="9" t="str">
        <x:v>模擬AIジョブの準備シート案</x:v>
      </x:c>
      <x:c r="G84" s="9" t="str">
        <x:v>下書きを確認して採用する</x:v>
      </x:c>
      <x:c r="H84" s="9" t="str">
        <x:v>採用した内容だけシートへ反映</x:v>
      </x:c>
      <x:c r="I84" s="10"/>
      <x:c r="J84" s="10"/>
      <x:c r="K84" s="10"/>
      <x:c r="L84" s="10"/>
      <x:c r="M84" s="11"/>
      <x:c r="N84" s="10"/>
      <x:c r="O84" s="10"/>
      <x:c r="P84" s="10"/>
      <x:c r="Q84" s="9" t="str">
        <x:v>src/app/(staff)/cases/[caseId]/sheet/SheetDraftPanel.tsx
src/app/(staff)/cases/[caseId]/sheet/page.tsx</x:v>
      </x:c>
    </x:row>
    <x:row r="85" ht="70" customHeight="1">
      <x:c r="A85" s="8" t="str">
        <x:v>TC-F-9-2-A</x:v>
      </x:c>
      <x:c r="B85" s="8" t="str">
        <x:v>F-9-2</x:v>
      </x:c>
      <x:c r="C85" s="8" t="str">
        <x:v>準備シート下書きと採用</x:v>
      </x:c>
      <x:c r="D85" s="8" t="str">
        <x:v>異常/境界</x:v>
      </x:c>
      <x:c r="E85" s="8" t="str">
        <x:v>planner</x:v>
      </x:c>
      <x:c r="F85" s="8" t="str">
        <x:v>模擬AIジョブの準備シート案</x:v>
      </x:c>
      <x:c r="G85" s="8" t="str">
        <x:v>AI停止/失敗時に手動シートを開く</x:v>
      </x:c>
      <x:c r="H85" s="8" t="str">
        <x:v>手動作成/印刷を継続できる</x:v>
      </x:c>
      <x:c r="I85" s="10"/>
      <x:c r="J85" s="10"/>
      <x:c r="K85" s="10"/>
      <x:c r="L85" s="10"/>
      <x:c r="M85" s="11"/>
      <x:c r="N85" s="10"/>
      <x:c r="O85" s="10"/>
      <x:c r="P85" s="10"/>
      <x:c r="Q85" s="8" t="str">
        <x:v>src/app/(staff)/cases/[caseId]/sheet/SheetDraftPanel.tsx
src/app/(staff)/cases/[caseId]/sheet/page.tsx</x:v>
      </x:c>
    </x:row>
    <x:row r="86" ht="40" customHeight="1">
      <x:c r="A86" s="9" t="str">
        <x:v>TC-F-9-3-N</x:v>
      </x:c>
      <x:c r="B86" s="9" t="str">
        <x:v>F-9-3</x:v>
      </x:c>
      <x:c r="C86" s="9" t="str">
        <x:v>コメント文面下書き</x:v>
      </x:c>
      <x:c r="D86" s="9" t="str">
        <x:v>正常</x:v>
      </x:c>
      <x:c r="E86" s="9" t="str">
        <x:v>planner</x:v>
      </x:c>
      <x:c r="F86" s="9" t="str">
        <x:v>模擬コメント案</x:v>
      </x:c>
      <x:c r="G86" s="9" t="str">
        <x:v>下書きを編集後に自分で送信確定する</x:v>
      </x:c>
      <x:c r="H86" s="9" t="str">
        <x:v>生成だけでは送信されない</x:v>
      </x:c>
      <x:c r="I86" s="10"/>
      <x:c r="J86" s="10"/>
      <x:c r="K86" s="10"/>
      <x:c r="L86" s="10"/>
      <x:c r="M86" s="11"/>
      <x:c r="N86" s="10"/>
      <x:c r="O86" s="10"/>
      <x:c r="P86" s="10"/>
      <x:c r="Q86" s="9" t="str">
        <x:v>src/app/(staff)/submissions/[submissionId]/DraftAssist.tsx</x:v>
      </x:c>
    </x:row>
    <x:row r="87" ht="40" customHeight="1">
      <x:c r="A87" s="8" t="str">
        <x:v>TC-F-9-3-A</x:v>
      </x:c>
      <x:c r="B87" s="8" t="str">
        <x:v>F-9-3</x:v>
      </x:c>
      <x:c r="C87" s="8" t="str">
        <x:v>コメント文面下書き</x:v>
      </x:c>
      <x:c r="D87" s="8" t="str">
        <x:v>異常/境界</x:v>
      </x:c>
      <x:c r="E87" s="8" t="str">
        <x:v>planner</x:v>
      </x:c>
      <x:c r="F87" s="8" t="str">
        <x:v>模擬コメント案</x:v>
      </x:c>
      <x:c r="G87" s="8" t="str">
        <x:v>AI停止/破棄して手入力する</x:v>
      </x:c>
      <x:c r="H87" s="8" t="str">
        <x:v>手入力の確認/不備処理が使える</x:v>
      </x:c>
      <x:c r="I87" s="10"/>
      <x:c r="J87" s="10"/>
      <x:c r="K87" s="10"/>
      <x:c r="L87" s="10"/>
      <x:c r="M87" s="11"/>
      <x:c r="N87" s="10"/>
      <x:c r="O87" s="10"/>
      <x:c r="P87" s="10"/>
      <x:c r="Q87" s="8" t="str">
        <x:v>src/app/(staff)/submissions/[submissionId]/DraftAssist.tsx</x:v>
      </x:c>
    </x:row>
    <x:row r="88" ht="85" customHeight="1">
      <x:c r="A88" s="9" t="str">
        <x:v>TC-F-9-4-N</x:v>
      </x:c>
      <x:c r="B88" s="9" t="str">
        <x:v>F-9-4</x:v>
      </x:c>
      <x:c r="C88" s="9" t="str">
        <x:v>提出CSVの不備一次チェック</x:v>
      </x:c>
      <x:c r="D88" s="9" t="str">
        <x:v>正常</x:v>
      </x:c>
      <x:c r="E88" s="9" t="str">
        <x:v>planner</x:v>
      </x:c>
      <x:c r="F88" s="9" t="str">
        <x:v>正常/欠落列/不正日付の架空CSV</x:v>
      </x:c>
      <x:c r="G88" s="9" t="str">
        <x:v>不備一次チェックを実行し指摘を確認</x:v>
      </x:c>
      <x:c r="H88" s="9" t="str">
        <x:v>既知の不備を提示し人が最終判断する</x:v>
      </x:c>
      <x:c r="I88" s="10"/>
      <x:c r="J88" s="10"/>
      <x:c r="K88" s="10"/>
      <x:c r="L88" s="10"/>
      <x:c r="M88" s="11"/>
      <x:c r="N88" s="10"/>
      <x:c r="O88" s="10"/>
      <x:c r="P88" s="10"/>
      <x:c r="Q88" s="9" t="str">
        <x:v>src/lib/ai/defectCheck.ts
src/app/api/submissions/[submissionId]/defect-check/route.ts
src/app/(staff)/submissions/[submissionId]/DefectPanel.tsx</x:v>
      </x:c>
    </x:row>
    <x:row r="89" ht="85" customHeight="1">
      <x:c r="A89" s="8" t="str">
        <x:v>TC-F-9-4-A</x:v>
      </x:c>
      <x:c r="B89" s="8" t="str">
        <x:v>F-9-4</x:v>
      </x:c>
      <x:c r="C89" s="8" t="str">
        <x:v>提出CSVの不備一次チェック</x:v>
      </x:c>
      <x:c r="D89" s="8" t="str">
        <x:v>異常/境界</x:v>
      </x:c>
      <x:c r="E89" s="8" t="str">
        <x:v>planner</x:v>
      </x:c>
      <x:c r="F89" s="8" t="str">
        <x:v>正常/欠落列/不正日付の架空CSV</x:v>
      </x:c>
      <x:c r="G89" s="8" t="str">
        <x:v>空CSV/過大CSV/AI停止を試す</x:v>
      </x:c>
      <x:c r="H89" s="8" t="str">
        <x:v>安全に拒否またはルール判定で確認継続</x:v>
      </x:c>
      <x:c r="I89" s="10"/>
      <x:c r="J89" s="10"/>
      <x:c r="K89" s="10"/>
      <x:c r="L89" s="10"/>
      <x:c r="M89" s="11"/>
      <x:c r="N89" s="10"/>
      <x:c r="O89" s="10"/>
      <x:c r="P89" s="10"/>
      <x:c r="Q89" s="8" t="str">
        <x:v>src/lib/ai/defectCheck.ts
src/app/api/submissions/[submissionId]/defect-check/route.ts
src/app/(staff)/submissions/[submissionId]/DefectPanel.tsx</x:v>
      </x:c>
    </x:row>
    <x:row r="90" ht="70" customHeight="1">
      <x:c r="A90" s="9" t="str">
        <x:v>TC-F-9-5-N</x:v>
      </x:c>
      <x:c r="B90" s="9" t="str">
        <x:v>F-9-5</x:v>
      </x:c>
      <x:c r="C90" s="9" t="str">
        <x:v>打ち合わせ記録・宿題起票案</x:v>
      </x:c>
      <x:c r="D90" s="9" t="str">
        <x:v>正常</x:v>
      </x:c>
      <x:c r="E90" s="9" t="str">
        <x:v>planner</x:v>
      </x:c>
      <x:c r="F90" s="9" t="str">
        <x:v>匿名打合せ記録と模擬起票案</x:v>
      </x:c>
      <x:c r="G90" s="9" t="str">
        <x:v>記録保存→提案選択→手動で確定</x:v>
      </x:c>
      <x:c r="H90" s="9" t="str">
        <x:v>選んだ提案だけ宿題を作る</x:v>
      </x:c>
      <x:c r="I90" s="10"/>
      <x:c r="J90" s="10"/>
      <x:c r="K90" s="10"/>
      <x:c r="L90" s="10"/>
      <x:c r="M90" s="11"/>
      <x:c r="N90" s="10"/>
      <x:c r="O90" s="10"/>
      <x:c r="P90" s="10"/>
      <x:c r="Q90" s="9" t="str">
        <x:v>src/app/(staff)/cases/[caseId]/meeting-notes/page.tsx
src/app/(staff)/cases/[caseId]/meeting-notes/TaskProposalPanel.tsx</x:v>
      </x:c>
    </x:row>
    <x:row r="91" ht="70" customHeight="1">
      <x:c r="A91" s="8" t="str">
        <x:v>TC-F-9-5-A</x:v>
      </x:c>
      <x:c r="B91" s="8" t="str">
        <x:v>F-9-5</x:v>
      </x:c>
      <x:c r="C91" s="8" t="str">
        <x:v>打ち合わせ記録・宿題起票案</x:v>
      </x:c>
      <x:c r="D91" s="8" t="str">
        <x:v>異常/境界</x:v>
      </x:c>
      <x:c r="E91" s="8" t="str">
        <x:v>planner</x:v>
      </x:c>
      <x:c r="F91" s="8" t="str">
        <x:v>匿名打合せ記録と模擬起票案</x:v>
      </x:c>
      <x:c r="G91" s="8" t="str">
        <x:v>AI停止/二重採用/他案件の提案を試す</x:v>
      </x:c>
      <x:c r="H91" s="8" t="str">
        <x:v>手動追加が使え二重/越権作成しない</x:v>
      </x:c>
      <x:c r="I91" s="10"/>
      <x:c r="J91" s="10"/>
      <x:c r="K91" s="10"/>
      <x:c r="L91" s="10"/>
      <x:c r="M91" s="11"/>
      <x:c r="N91" s="10"/>
      <x:c r="O91" s="10"/>
      <x:c r="P91" s="10"/>
      <x:c r="Q91" s="8" t="str">
        <x:v>src/app/(staff)/cases/[caseId]/meeting-notes/page.tsx
src/app/(staff)/cases/[caseId]/meeting-notes/TaskProposalPanel.tsx</x:v>
      </x:c>
    </x:row>
    <x:row r="92" ht="70" customHeight="1">
      <x:c r="A92" s="9" t="str">
        <x:v>TC-F-9-6-N</x:v>
      </x:c>
      <x:c r="B92" s="9" t="str">
        <x:v>F-9-6</x:v>
      </x:c>
      <x:c r="C92" s="9" t="str">
        <x:v>AI共通ジョブ基盤</x:v>
      </x:c>
      <x:c r="D92" s="9" t="str">
        <x:v>正常</x:v>
      </x:c>
      <x:c r="E92" s="9" t="str">
        <x:v>内部worker</x:v>
      </x:c>
      <x:c r="F92" s="9" t="str">
        <x:v>外部送信のない模擬worker</x:v>
      </x:c>
      <x:c r="G92" s="9" t="str">
        <x:v>npm test -- tests/db/ai-jobs.test.ts</x:v>
      </x:c>
      <x:c r="H92" s="9" t="str">
        <x:v>取得/確定/再試行/保持処理が仕様どおり</x:v>
      </x:c>
      <x:c r="I92" s="10"/>
      <x:c r="J92" s="10"/>
      <x:c r="K92" s="10"/>
      <x:c r="L92" s="10"/>
      <x:c r="M92" s="11"/>
      <x:c r="N92" s="10"/>
      <x:c r="O92" s="10"/>
      <x:c r="P92" s="10"/>
      <x:c r="Q92" s="9" t="str">
        <x:v>worker/ai-worker.ts
src/lib/ai/schemas.ts
supabase/migrations/20260828001600_ai_job_queue.sql</x:v>
      </x:c>
    </x:row>
    <x:row r="93" ht="70" customHeight="1">
      <x:c r="A93" s="8" t="str">
        <x:v>TC-F-9-6-A</x:v>
      </x:c>
      <x:c r="B93" s="8" t="str">
        <x:v>F-9-6</x:v>
      </x:c>
      <x:c r="C93" s="8" t="str">
        <x:v>AI共通ジョブ基盤</x:v>
      </x:c>
      <x:c r="D93" s="8" t="str">
        <x:v>異常/境界</x:v>
      </x:c>
      <x:c r="E93" s="8" t="str">
        <x:v>内部worker</x:v>
      </x:c>
      <x:c r="F93" s="8" t="str">
        <x:v>外部送信のない模擬worker</x:v>
      </x:c>
      <x:c r="G93" s="8" t="str">
        <x:v>処理中30分超・不正出力・重複claim</x:v>
      </x:c>
      <x:c r="H93" s="8" t="str">
        <x:v>回収/失敗記録を行い自動業務確定しない</x:v>
      </x:c>
      <x:c r="I93" s="10"/>
      <x:c r="J93" s="10"/>
      <x:c r="K93" s="10"/>
      <x:c r="L93" s="10"/>
      <x:c r="M93" s="11"/>
      <x:c r="N93" s="10"/>
      <x:c r="O93" s="10"/>
      <x:c r="P93" s="10"/>
      <x:c r="Q93" s="8" t="str">
        <x:v>worker/ai-worker.ts
src/lib/ai/schemas.ts
supabase/migrations/20260828001600_ai_job_queue.sql</x:v>
      </x:c>
    </x:row>
    <x:row r="94" ht="70" customHeight="1">
      <x:c r="A94" s="9" t="str">
        <x:v>TC-F-9-7-C</x:v>
      </x:c>
      <x:c r="B94" s="9" t="str">
        <x:v>F-9-7</x:v>
      </x:c>
      <x:c r="C94" s="9" t="str">
        <x:v>FAQ一次回答・RAG</x:v>
      </x:c>
      <x:c r="D94" s="9" t="str">
        <x:v>条件付き</x:v>
      </x:c>
      <x:c r="E94" s="9" t="str">
        <x:v>対象外</x:v>
      </x:c>
      <x:c r="F94" s="9" t="str">
        <x:v>実装/学校範囲への採用を決めた場合のみ</x:v>
      </x:c>
      <x:c r="G94" s="9" t="str">
        <x:v>未実装の拡張候補。範囲採用後に具体手順を追加する</x:v>
      </x:c>
      <x:c r="H94" s="9" t="str">
        <x:v>必須44機能の未完了/失敗率には混ぜない</x:v>
      </x:c>
      <x:c r="I94" s="10"/>
      <x:c r="J94" s="10"/>
      <x:c r="K94" s="10"/>
      <x:c r="L94" s="10"/>
      <x:c r="M94" s="11"/>
      <x:c r="N94" s="10"/>
      <x:c r="O94" s="10"/>
      <x:c r="P94" s="10"/>
      <x:c r="Q94" s="9" t="str">
        <x:v>src/lib/ai/schemas.ts
src/lib/validation.ts
supabase/migrations/20260828000300_phase2_tables.sql</x:v>
      </x:c>
    </x:row>
    <x:row r="95" ht="70" customHeight="1">
      <x:c r="A95" s="8" t="str">
        <x:v>TC-F-9-8-C</x:v>
      </x:c>
      <x:c r="B95" s="8" t="str">
        <x:v>F-9-8</x:v>
      </x:c>
      <x:c r="C95" s="8" t="str">
        <x:v>遅延時リスケジュール案</x:v>
      </x:c>
      <x:c r="D95" s="8" t="str">
        <x:v>条件付き</x:v>
      </x:c>
      <x:c r="E95" s="8" t="str">
        <x:v>対象外</x:v>
      </x:c>
      <x:c r="F95" s="8" t="str">
        <x:v>実装/学校範囲への採用を決めた場合のみ</x:v>
      </x:c>
      <x:c r="G95" s="8" t="str">
        <x:v>未実装の拡張候補。範囲採用後に具体手順を追加する</x:v>
      </x:c>
      <x:c r="H95" s="8" t="str">
        <x:v>必須44機能の未完了/失敗率には混ぜない</x:v>
      </x:c>
      <x:c r="I95" s="10"/>
      <x:c r="J95" s="10"/>
      <x:c r="K95" s="10"/>
      <x:c r="L95" s="10"/>
      <x:c r="M95" s="11"/>
      <x:c r="N95" s="10"/>
      <x:c r="O95" s="10"/>
      <x:c r="P95" s="10"/>
      <x:c r="Q95" s="8" t="str">
        <x:v>src/lib/ai/schemas.ts
src/lib/validation.ts
supabase/migrations/20260828000300_phase2_tables.sql</x:v>
      </x:c>
    </x:row>
    <x:row r="96" ht="70" customHeight="1">
      <x:c r="A96" s="9" t="str">
        <x:v>TC-F-9-9-C</x:v>
      </x:c>
      <x:c r="B96" s="9" t="str">
        <x:v>F-9-9</x:v>
      </x:c>
      <x:c r="C96" s="9" t="str">
        <x:v>担当引継ぎサマリー</x:v>
      </x:c>
      <x:c r="D96" s="9" t="str">
        <x:v>条件付き</x:v>
      </x:c>
      <x:c r="E96" s="9" t="str">
        <x:v>対象外</x:v>
      </x:c>
      <x:c r="F96" s="9" t="str">
        <x:v>実装/学校範囲への採用を決めた場合のみ</x:v>
      </x:c>
      <x:c r="G96" s="9" t="str">
        <x:v>未実装の拡張候補。範囲採用後に具体手順を追加する</x:v>
      </x:c>
      <x:c r="H96" s="9" t="str">
        <x:v>必須44機能の未完了/失敗率には混ぜない</x:v>
      </x:c>
      <x:c r="I96" s="10"/>
      <x:c r="J96" s="10"/>
      <x:c r="K96" s="10"/>
      <x:c r="L96" s="10"/>
      <x:c r="M96" s="11"/>
      <x:c r="N96" s="10"/>
      <x:c r="O96" s="10"/>
      <x:c r="P96" s="10"/>
      <x:c r="Q96" s="9" t="str">
        <x:v>src/lib/ai/schemas.ts
src/lib/validation.ts
supabase/migrations/20260828000300_phase2_tables.sql</x:v>
      </x:c>
    </x:row>
    <x:row r="97" ht="70" customHeight="1">
      <x:c r="A97" s="8" t="str">
        <x:v>TC-F-9-10-C</x:v>
      </x:c>
      <x:c r="B97" s="8" t="str">
        <x:v>F-9-10</x:v>
      </x:c>
      <x:c r="C97" s="8" t="str">
        <x:v>宿題テンプレートセット案</x:v>
      </x:c>
      <x:c r="D97" s="8" t="str">
        <x:v>条件付き</x:v>
      </x:c>
      <x:c r="E97" s="8" t="str">
        <x:v>対象外</x:v>
      </x:c>
      <x:c r="F97" s="8" t="str">
        <x:v>実装/学校範囲への採用を決めた場合のみ</x:v>
      </x:c>
      <x:c r="G97" s="8" t="str">
        <x:v>未実装の拡張候補。範囲採用後に具体手順を追加する</x:v>
      </x:c>
      <x:c r="H97" s="8" t="str">
        <x:v>必須44機能の未完了/失敗率には混ぜない</x:v>
      </x:c>
      <x:c r="I97" s="10"/>
      <x:c r="J97" s="10"/>
      <x:c r="K97" s="10"/>
      <x:c r="L97" s="10"/>
      <x:c r="M97" s="11"/>
      <x:c r="N97" s="10"/>
      <x:c r="O97" s="10"/>
      <x:c r="P97" s="10"/>
      <x:c r="Q97" s="8" t="str">
        <x:v>src/lib/ai/schemas.ts
src/lib/validation.ts
supabase/migrations/20260828000300_phase2_tables.sql</x:v>
      </x:c>
    </x:row>
    <x:row r="98" ht="70" customHeight="1">
      <x:c r="A98" s="9" t="str">
        <x:v>TC-F-9-11-C</x:v>
      </x:c>
      <x:c r="B98" s="9" t="str">
        <x:v>F-9-11</x:v>
      </x:c>
      <x:c r="C98" s="9" t="str">
        <x:v>翻訳補助</x:v>
      </x:c>
      <x:c r="D98" s="9" t="str">
        <x:v>条件付き</x:v>
      </x:c>
      <x:c r="E98" s="9" t="str">
        <x:v>対象外</x:v>
      </x:c>
      <x:c r="F98" s="9" t="str">
        <x:v>実装/学校範囲への採用を決めた場合のみ</x:v>
      </x:c>
      <x:c r="G98" s="9" t="str">
        <x:v>未実装の拡張候補。範囲採用後に具体手順を追加する</x:v>
      </x:c>
      <x:c r="H98" s="9" t="str">
        <x:v>必須44機能の未完了/失敗率には混ぜない</x:v>
      </x:c>
      <x:c r="I98" s="10"/>
      <x:c r="J98" s="10"/>
      <x:c r="K98" s="10"/>
      <x:c r="L98" s="10"/>
      <x:c r="M98" s="11"/>
      <x:c r="N98" s="10"/>
      <x:c r="O98" s="10"/>
      <x:c r="P98" s="10"/>
      <x:c r="Q98" s="9" t="str">
        <x:v>src/lib/ai/schemas.ts
src/lib/validation.ts
supabase/migrations/20260828000300_phase2_tables.sql</x:v>
      </x:c>
    </x:row>
    <x:row r="99" ht="40" customHeight="1">
      <x:c r="A99" s="8" t="str">
        <x:v>NF-01</x:v>
      </x:c>
      <x:c r="B99" s="8" t="str">
        <x:v>共通</x:v>
      </x:c>
      <x:c r="C99" s="8" t="str">
        <x:v>共有</x:v>
      </x:c>
      <x:c r="D99" s="8" t="str">
        <x:v>共有</x:v>
      </x:c>
      <x:c r="E99" s="8" t="str">
        <x:v>実装担当/試験担当</x:v>
      </x:c>
      <x:c r="F99" s="8" t="str">
        <x:v>新郎/新婦の2セッション</x:v>
      </x:c>
      <x:c r="G99" s="8" t="str">
        <x:v>一方で提出後、他方を再読込する</x:v>
      </x:c>
      <x:c r="H99" s="8" t="str">
        <x:v>同じ最新提出/状態を表示し相互上書き時の競合を扱う</x:v>
      </x:c>
      <x:c r="I99" s="10"/>
      <x:c r="J99" s="10"/>
      <x:c r="K99" s="10"/>
      <x:c r="L99" s="10"/>
      <x:c r="M99" s="11"/>
      <x:c r="N99" s="10"/>
      <x:c r="O99" s="10"/>
      <x:c r="P99" s="10"/>
      <x:c r="Q99" s="8" t="str">
        <x:v>tests/db/rls-submission.test.ts</x:v>
      </x:c>
    </x:row>
    <x:row r="100" ht="34" customHeight="1">
      <x:c r="A100" s="9" t="str">
        <x:v>NF-02</x:v>
      </x:c>
      <x:c r="B100" s="9" t="str">
        <x:v>共通</x:v>
      </x:c>
      <x:c r="C100" s="9" t="str">
        <x:v>認可</x:v>
      </x:c>
      <x:c r="D100" s="9" t="str">
        <x:v>認可</x:v>
      </x:c>
      <x:c r="E100" s="9" t="str">
        <x:v>実装担当/試験担当</x:v>
      </x:c>
      <x:c r="F100" s="9" t="str">
        <x:v>別式場/別担当/未ログイン</x:v>
      </x:c>
      <x:c r="G100" s="9" t="str">
        <x:v>URL/APIのcaseId/venueIdを別対象へ変更</x:v>
      </x:c>
      <x:c r="H100" s="9" t="str">
        <x:v>403/404/401で拒否し個人情報を含めない</x:v>
      </x:c>
      <x:c r="I100" s="10"/>
      <x:c r="J100" s="10"/>
      <x:c r="K100" s="10"/>
      <x:c r="L100" s="10"/>
      <x:c r="M100" s="11"/>
      <x:c r="N100" s="10"/>
      <x:c r="O100" s="10"/>
      <x:c r="P100" s="10"/>
      <x:c r="Q100" s="9" t="str">
        <x:v>tests/db/rls.test.ts</x:v>
      </x:c>
    </x:row>
    <x:row r="101" ht="34" customHeight="1">
      <x:c r="A101" s="8" t="str">
        <x:v>NF-03</x:v>
      </x:c>
      <x:c r="B101" s="8" t="str">
        <x:v>共通</x:v>
      </x:c>
      <x:c r="C101" s="8" t="str">
        <x:v>Origin</x:v>
      </x:c>
      <x:c r="D101" s="8" t="str">
        <x:v>Origin</x:v>
      </x:c>
      <x:c r="E101" s="8" t="str">
        <x:v>実装担当/試験担当</x:v>
      </x:c>
      <x:c r="F101" s="8" t="str">
        <x:v>API失敗注入</x:v>
      </x:c>
      <x:c r="G101" s="8" t="str">
        <x:v>同一/欠落/null/異なるOriginで更新APIを呼ぶ</x:v>
      </x:c>
      <x:c r="H101" s="8" t="str">
        <x:v>同一Originのみ受付、他は本文処理前403</x:v>
      </x:c>
      <x:c r="I101" s="10"/>
      <x:c r="J101" s="10"/>
      <x:c r="K101" s="10"/>
      <x:c r="L101" s="10"/>
      <x:c r="M101" s="11"/>
      <x:c r="N101" s="10"/>
      <x:c r="O101" s="10"/>
      <x:c r="P101" s="10"/>
      <x:c r="Q101" s="8" t="str">
        <x:v>tests/unit/api-origin.test.ts</x:v>
      </x:c>
    </x:row>
    <x:row r="102" ht="34" customHeight="1">
      <x:c r="A102" s="9" t="str">
        <x:v>NF-04</x:v>
      </x:c>
      <x:c r="B102" s="9" t="str">
        <x:v>共通</x:v>
      </x:c>
      <x:c r="C102" s="9" t="str">
        <x:v>境界値</x:v>
      </x:c>
      <x:c r="D102" s="9" t="str">
        <x:v>境界値</x:v>
      </x:c>
      <x:c r="E102" s="9" t="str">
        <x:v>実装担当/試験担当</x:v>
      </x:c>
      <x:c r="F102" s="9" t="str">
        <x:v>ファイル模擬テスト</x:v>
      </x:c>
      <x:c r="G102" s="9" t="str">
        <x:v>5MiB直前/一致/超過、不正拡張子/内容型を検証</x:v>
      </x:c>
      <x:c r="H102" s="9" t="str">
        <x:v>上限以内かつ許可形式のみ受け付ける</x:v>
      </x:c>
      <x:c r="I102" s="10"/>
      <x:c r="J102" s="10"/>
      <x:c r="K102" s="10"/>
      <x:c r="L102" s="10"/>
      <x:c r="M102" s="11"/>
      <x:c r="N102" s="10"/>
      <x:c r="O102" s="10"/>
      <x:c r="P102" s="10"/>
      <x:c r="Q102" s="9" t="str">
        <x:v>src/app/api/files/upload/route.ts</x:v>
      </x:c>
    </x:row>
    <x:row r="103" ht="40" customHeight="1">
      <x:c r="A103" s="8" t="str">
        <x:v>NF-05</x:v>
      </x:c>
      <x:c r="B103" s="8" t="str">
        <x:v>共通</x:v>
      </x:c>
      <x:c r="C103" s="8" t="str">
        <x:v>認可</x:v>
      </x:c>
      <x:c r="D103" s="8" t="str">
        <x:v>認可</x:v>
      </x:c>
      <x:c r="E103" s="8" t="str">
        <x:v>実装担当/試験担当</x:v>
      </x:c>
      <x:c r="F103" s="8" t="str">
        <x:v>共有/非共有ファイル</x:v>
      </x:c>
      <x:c r="G103" s="8" t="str">
        <x:v>本人/他案件からダウンロードを試す</x:v>
      </x:c>
      <x:c r="H103" s="8" t="str">
        <x:v>閲覧権限と案件範囲で認可しURLを無断公開しない</x:v>
      </x:c>
      <x:c r="I103" s="10"/>
      <x:c r="J103" s="10"/>
      <x:c r="K103" s="10"/>
      <x:c r="L103" s="10"/>
      <x:c r="M103" s="11"/>
      <x:c r="N103" s="10"/>
      <x:c r="O103" s="10"/>
      <x:c r="P103" s="10"/>
      <x:c r="Q103" s="8" t="str">
        <x:v>src/app/api/files/[fileId]/download/route.ts</x:v>
      </x:c>
    </x:row>
    <x:row r="104" ht="34" customHeight="1">
      <x:c r="A104" s="9" t="str">
        <x:v>NF-06</x:v>
      </x:c>
      <x:c r="B104" s="9" t="str">
        <x:v>共通</x:v>
      </x:c>
      <x:c r="C104" s="9" t="str">
        <x:v>失敗</x:v>
      </x:c>
      <x:c r="D104" s="9" t="str">
        <x:v>失敗</x:v>
      </x:c>
      <x:c r="E104" s="9" t="str">
        <x:v>実装担当/試験担当</x:v>
      </x:c>
      <x:c r="F104" s="9" t="str">
        <x:v>削除バッチの模擬Storage/DB</x:v>
      </x:c>
      <x:c r="G104" s="9" t="str">
        <x:v>npm test -- tests/unit/case-purge.test.ts</x:v>
      </x:c>
      <x:c r="H104" s="9" t="str">
        <x:v>失敗を成功件数に含めず再実行用情報を保持する</x:v>
      </x:c>
      <x:c r="I104" s="10"/>
      <x:c r="J104" s="10"/>
      <x:c r="K104" s="10"/>
      <x:c r="L104" s="10"/>
      <x:c r="M104" s="11"/>
      <x:c r="N104" s="10"/>
      <x:c r="O104" s="10"/>
      <x:c r="P104" s="10"/>
      <x:c r="Q104" s="9" t="str">
        <x:v>tests/unit/case-purge.test.ts</x:v>
      </x:c>
    </x:row>
    <x:row r="105" ht="40" customHeight="1">
      <x:c r="A105" s="8" t="str">
        <x:v>NF-07</x:v>
      </x:c>
      <x:c r="B105" s="8" t="str">
        <x:v>共通</x:v>
      </x:c>
      <x:c r="C105" s="8" t="str">
        <x:v>境界値</x:v>
      </x:c>
      <x:c r="D105" s="8" t="str">
        <x:v>境界値</x:v>
      </x:c>
      <x:c r="E105" s="8" t="str">
        <x:v>実装担当/試験担当</x:v>
      </x:c>
      <x:c r="F105" s="8" t="str">
        <x:v>監査保持のPGlite試験</x:v>
      </x:c>
      <x:c r="G105" s="8" t="str">
        <x:v>npm test -- tests/db/audit.test.ts</x:v>
      </x:c>
      <x:c r="H105" s="8" t="str">
        <x:v>2暦年より古い行だけ削除、境界/うるう日/権限を確認</x:v>
      </x:c>
      <x:c r="I105" s="10"/>
      <x:c r="J105" s="10"/>
      <x:c r="K105" s="10"/>
      <x:c r="L105" s="10"/>
      <x:c r="M105" s="11"/>
      <x:c r="N105" s="10"/>
      <x:c r="O105" s="10"/>
      <x:c r="P105" s="10"/>
      <x:c r="Q105" s="8" t="str">
        <x:v>tests/db/audit.test.ts</x:v>
      </x:c>
    </x:row>
    <x:row r="106" ht="40" customHeight="1">
      <x:c r="A106" s="9" t="str">
        <x:v>NF-08</x:v>
      </x:c>
      <x:c r="B106" s="9" t="str">
        <x:v>共通</x:v>
      </x:c>
      <x:c r="C106" s="9" t="str">
        <x:v>整合</x:v>
      </x:c>
      <x:c r="D106" s="9" t="str">
        <x:v>整合</x:v>
      </x:c>
      <x:c r="E106" s="9" t="str">
        <x:v>実装担当/試験担当</x:v>
      </x:c>
      <x:c r="F106" s="9" t="str">
        <x:v>監査失敗注入</x:v>
      </x:c>
      <x:c r="G106" s="9" t="str">
        <x:v>管理更新時に監査INSERTを失敗させる</x:v>
      </x:c>
      <x:c r="H106" s="9" t="str">
        <x:v>DB trigger対象は業務更新もrollbackしPII値を複写しない</x:v>
      </x:c>
      <x:c r="I106" s="10"/>
      <x:c r="J106" s="10"/>
      <x:c r="K106" s="10"/>
      <x:c r="L106" s="10"/>
      <x:c r="M106" s="11"/>
      <x:c r="N106" s="10"/>
      <x:c r="O106" s="10"/>
      <x:c r="P106" s="10"/>
      <x:c r="Q106" s="9" t="str">
        <x:v>tests/db/audit.test.ts</x:v>
      </x:c>
    </x:row>
    <x:row r="107" ht="34" customHeight="1">
      <x:c r="A107" s="8" t="str">
        <x:v>NF-09</x:v>
      </x:c>
      <x:c r="B107" s="8" t="str">
        <x:v>共通</x:v>
      </x:c>
      <x:c r="C107" s="8" t="str">
        <x:v>容量</x:v>
      </x:c>
      <x:c r="D107" s="8" t="str">
        <x:v>容量</x:v>
      </x:c>
      <x:c r="E107" s="8" t="str">
        <x:v>実装担当/試験担当</x:v>
      </x:c>
      <x:c r="F107" s="8" t="str">
        <x:v>容量取得RPCの模擬値</x:v>
      </x:c>
      <x:c r="G107" s="8" t="str">
        <x:v>上限69.9%/70%/70.1%を代入する</x:v>
      </x:c>
      <x:c r="H107" s="8" t="str">
        <x:v>70%超過のみ警告、取得不能は0と表示しない</x:v>
      </x:c>
      <x:c r="I107" s="10"/>
      <x:c r="J107" s="10"/>
      <x:c r="K107" s="10"/>
      <x:c r="L107" s="10"/>
      <x:c r="M107" s="11"/>
      <x:c r="N107" s="10"/>
      <x:c r="O107" s="10"/>
      <x:c r="P107" s="10"/>
      <x:c r="Q107" s="8" t="str">
        <x:v>tests/db/monitoring.test.ts</x:v>
      </x:c>
    </x:row>
    <x:row r="108" ht="40" customHeight="1">
      <x:c r="A108" s="9" t="str">
        <x:v>NF-10</x:v>
      </x:c>
      <x:c r="B108" s="9" t="str">
        <x:v>共通</x:v>
      </x:c>
      <x:c r="C108" s="9" t="str">
        <x:v>監視</x:v>
      </x:c>
      <x:c r="D108" s="9" t="str">
        <x:v>監視</x:v>
      </x:c>
      <x:c r="E108" s="9" t="str">
        <x:v>実装担当/試験担当</x:v>
      </x:c>
      <x:c r="F108" s="9" t="str">
        <x:v>模擬バッチ失敗/未実行/AI滞留</x:v>
      </x:c>
      <x:c r="G108" s="9" t="str">
        <x:v>npm test -- tests/db/monitoring.test.ts tests/unit/monitoring.test.ts</x:v>
      </x:c>
      <x:c r="H108" s="9" t="str">
        <x:v>各アラート条件と解消を表示しPIIを通知本文に入れない</x:v>
      </x:c>
      <x:c r="I108" s="10"/>
      <x:c r="J108" s="10"/>
      <x:c r="K108" s="10"/>
      <x:c r="L108" s="10"/>
      <x:c r="M108" s="11"/>
      <x:c r="N108" s="10"/>
      <x:c r="O108" s="10"/>
      <x:c r="P108" s="10"/>
      <x:c r="Q108" s="9" t="str">
        <x:v>src/lib/monitoring/service.ts</x:v>
      </x:c>
    </x:row>
    <x:row r="109" ht="40" customHeight="1">
      <x:c r="A109" s="8" t="str">
        <x:v>NF-11</x:v>
      </x:c>
      <x:c r="B109" s="8" t="str">
        <x:v>共通</x:v>
      </x:c>
      <x:c r="C109" s="8" t="str">
        <x:v>認証</x:v>
      </x:c>
      <x:c r="D109" s="8" t="str">
        <x:v>認証</x:v>
      </x:c>
      <x:c r="E109" s="8" t="str">
        <x:v>実装担当/試験担当</x:v>
      </x:c>
      <x:c r="F109" s="8" t="str">
        <x:v>模擬認証失敗</x:v>
      </x:c>
      <x:c r="G109" s="8" t="str">
        <x:v>password/OTP合計9/10/11回、別アカウントを比較</x:v>
      </x:c>
      <x:c r="H109" s="8" t="str">
        <x:v>同一アカウント直近1時間10回で記録、別人は合算しない</x:v>
      </x:c>
      <x:c r="I109" s="10"/>
      <x:c r="J109" s="10"/>
      <x:c r="K109" s="10"/>
      <x:c r="L109" s="10"/>
      <x:c r="M109" s="11"/>
      <x:c r="N109" s="10"/>
      <x:c r="O109" s="10"/>
      <x:c r="P109" s="10"/>
      <x:c r="Q109" s="8" t="str">
        <x:v>tests/unit/password-auth.test.ts</x:v>
      </x:c>
    </x:row>
    <x:row r="110" ht="40" customHeight="1">
      <x:c r="A110" s="9" t="str">
        <x:v>NF-12</x:v>
      </x:c>
      <x:c r="B110" s="9" t="str">
        <x:v>共通</x:v>
      </x:c>
      <x:c r="C110" s="9" t="str">
        <x:v>PWA</x:v>
      </x:c>
      <x:c r="D110" s="9" t="str">
        <x:v>PWA</x:v>
      </x:c>
      <x:c r="E110" s="9" t="str">
        <x:v>実装担当/試験担当</x:v>
      </x:c>
      <x:c r="F110" s="9" t="str">
        <x:v>HTTPSまたはlocalhostのChrome</x:v>
      </x:c>
      <x:c r="G110" s="9" t="str">
        <x:v>ホーム追加後に起動しログアウト/オフラインを確認</x:v>
      </x:c>
      <x:c r="H110" s="9" t="str">
        <x:v>起動でき個人情報/API応答をオフラインキャッシュしない</x:v>
      </x:c>
      <x:c r="I110" s="10"/>
      <x:c r="J110" s="10"/>
      <x:c r="K110" s="10"/>
      <x:c r="L110" s="10"/>
      <x:c r="M110" s="11"/>
      <x:c r="N110" s="10"/>
      <x:c r="O110" s="10"/>
      <x:c r="P110" s="10"/>
      <x:c r="Q110" s="9" t="str">
        <x:v>tests/unit/pwa.test.ts</x:v>
      </x:c>
    </x:row>
    <x:row r="111" ht="40" customHeight="1">
      <x:c r="A111" s="8" t="str">
        <x:v>NF-13</x:v>
      </x:c>
      <x:c r="B111" s="8" t="str">
        <x:v>共通</x:v>
      </x:c>
      <x:c r="C111" s="8" t="str">
        <x:v>性能</x:v>
      </x:c>
      <x:c r="D111" s="8" t="str">
        <x:v>性能</x:v>
      </x:c>
      <x:c r="E111" s="8" t="str">
        <x:v>実装担当/試験担当</x:v>
      </x:c>
      <x:c r="F111" s="8" t="str">
        <x:v>ブラウザ計測/模擬データ</x:v>
      </x:c>
      <x:c r="G111" s="8" t="str">
        <x:v>主要一覧/詳細を3回計測し件数・端末・回線を記録</x:v>
      </x:c>
      <x:c r="H111" s="8" t="str">
        <x:v>API/画面計測が記録され秘密・動的IDをログへ出さない</x:v>
      </x:c>
      <x:c r="I111" s="10"/>
      <x:c r="J111" s="10"/>
      <x:c r="K111" s="10"/>
      <x:c r="L111" s="10"/>
      <x:c r="M111" s="11"/>
      <x:c r="N111" s="10"/>
      <x:c r="O111" s="10"/>
      <x:c r="P111" s="10"/>
      <x:c r="Q111" s="8" t="str">
        <x:v>tests/unit/performance.test.ts</x:v>
      </x:c>
    </x:row>
    <x:row r="112" ht="40" customHeight="1">
      <x:c r="A112" s="9" t="str">
        <x:v>NF-14</x:v>
      </x:c>
      <x:c r="B112" s="9" t="str">
        <x:v>共通</x:v>
      </x:c>
      <x:c r="C112" s="9" t="str">
        <x:v>端末</x:v>
      </x:c>
      <x:c r="D112" s="9" t="str">
        <x:v>端末</x:v>
      </x:c>
      <x:c r="E112" s="9" t="str">
        <x:v>実装担当/試験担当</x:v>
      </x:c>
      <x:c r="F112" s="9" t="str">
        <x:v>PC Chrome/Edge、スマホ実機</x:v>
      </x:c>
      <x:c r="G112" s="9" t="str">
        <x:v>入力/一覧/提出/エラーをキーボードとタッチで操作</x:v>
      </x:c>
      <x:c r="H112" s="9" t="str">
        <x:v>操作要素が隠れずラベル/フォーカス/エラーを認識できる</x:v>
      </x:c>
      <x:c r="I112" s="10"/>
      <x:c r="J112" s="10"/>
      <x:c r="K112" s="10"/>
      <x:c r="L112" s="10"/>
      <x:c r="M112" s="11"/>
      <x:c r="N112" s="10"/>
      <x:c r="O112" s="10"/>
      <x:c r="P112" s="10"/>
      <x:c r="Q112" s="9" t="str">
        <x:v>tests/e2e/core-flow.spec.ts</x:v>
      </x:c>
    </x:row>
    <x:row r="113" ht="34" customHeight="1">
      <x:c r="A113" s="8" t="str">
        <x:v>NF-15</x:v>
      </x:c>
      <x:c r="B113" s="8" t="str">
        <x:v>共通</x:v>
      </x:c>
      <x:c r="C113" s="8" t="str">
        <x:v>AI停止</x:v>
      </x:c>
      <x:c r="D113" s="8" t="str">
        <x:v>AI停止</x:v>
      </x:c>
      <x:c r="E113" s="8" t="str">
        <x:v>実装担当/試験担当</x:v>
      </x:c>
      <x:c r="F113" s="8" t="str">
        <x:v>ローカルLLM/workerを停止した模擬環境</x:v>
      </x:c>
      <x:c r="G113" s="8" t="str">
        <x:v>案件登録→提出→確認→不備→再提出を手動で行う</x:v>
      </x:c>
      <x:c r="H113" s="8" t="str">
        <x:v>必須業務をAI契約なしで継続できる</x:v>
      </x:c>
      <x:c r="I113" s="10"/>
      <x:c r="J113" s="10"/>
      <x:c r="K113" s="10"/>
      <x:c r="L113" s="10"/>
      <x:c r="M113" s="11"/>
      <x:c r="N113" s="10"/>
      <x:c r="O113" s="10"/>
      <x:c r="P113" s="10"/>
      <x:c r="Q113" s="8" t="str">
        <x:v>tests/e2e/core-flow.spec.ts</x:v>
      </x:c>
    </x:row>
    <x:row r="114" ht="40" customHeight="1">
      <x:c r="A114" s="9" t="str">
        <x:v>NF-16</x:v>
      </x:c>
      <x:c r="B114" s="9" t="str">
        <x:v>共通</x:v>
      </x:c>
      <x:c r="C114" s="9" t="str">
        <x:v>境界値</x:v>
      </x:c>
      <x:c r="D114" s="9" t="str">
        <x:v>境界値</x:v>
      </x:c>
      <x:c r="E114" s="9" t="str">
        <x:v>実装担当/試験担当</x:v>
      </x:c>
      <x:c r="F114" s="9" t="str">
        <x:v>CSV出力用の架空データ</x:v>
      </x:c>
      <x:c r="G114" s="9" t="str">
        <x:v>日付期間の最終日/次月初と=,+,-,@始まりを確認</x:v>
      </x:c>
      <x:c r="H114" s="9" t="str">
        <x:v>期間境界と式注入対策が正しい</x:v>
      </x:c>
      <x:c r="I114" s="10"/>
      <x:c r="J114" s="10"/>
      <x:c r="K114" s="10"/>
      <x:c r="L114" s="10"/>
      <x:c r="M114" s="11"/>
      <x:c r="N114" s="10"/>
      <x:c r="O114" s="10"/>
      <x:c r="P114" s="10"/>
      <x:c r="Q114" s="9" t="str">
        <x:v>tests/unit/notification-log-export.test.ts</x:v>
      </x:c>
    </x:row>
    <x:row r="115" ht="34" customHeight="1">
      <x:c r="A115" s="8" t="str">
        <x:v>NF-17</x:v>
      </x:c>
      <x:c r="B115" s="8" t="str">
        <x:v>共通</x:v>
      </x:c>
      <x:c r="C115" s="8" t="str">
        <x:v>復旧</x:v>
      </x:c>
      <x:c r="D115" s="8" t="str">
        <x:v>復旧</x:v>
      </x:c>
      <x:c r="E115" s="8" t="str">
        <x:v>実装担当/試験担当</x:v>
      </x:c>
      <x:c r="F115" s="8" t="str">
        <x:v>ローカル模擬DB専用</x:v>
      </x:c>
      <x:c r="G115" s="8" t="str">
        <x:v>READMEに従いseed→reset→再seedし日付を確認</x:v>
      </x:c>
      <x:c r="H115" s="8" t="str">
        <x:v>実データへ触れず模擬案件を再現できる</x:v>
      </x:c>
      <x:c r="I115" s="10"/>
      <x:c r="J115" s="10"/>
      <x:c r="K115" s="10"/>
      <x:c r="L115" s="10"/>
      <x:c r="M115" s="11"/>
      <x:c r="N115" s="10"/>
      <x:c r="O115" s="10"/>
      <x:c r="P115" s="10"/>
      <x:c r="Q115" s="8" t="str">
        <x:v>tests/db/demo-seed.test.ts</x:v>
      </x:c>
    </x:row>
    <x:row r="116" ht="40" customHeight="1">
      <x:c r="A116" s="9" t="str">
        <x:v>NF-18</x:v>
      </x:c>
      <x:c r="B116" s="9" t="str">
        <x:v>共通</x:v>
      </x:c>
      <x:c r="C116" s="9" t="str">
        <x:v>品質</x:v>
      </x:c>
      <x:c r="D116" s="9" t="str">
        <x:v>品質</x:v>
      </x:c>
      <x:c r="E116" s="9" t="str">
        <x:v>実装担当/試験担当</x:v>
      </x:c>
      <x:c r="F116" s="9" t="str">
        <x:v>依存/書式/型の検証環境</x:v>
      </x:c>
      <x:c r="G116" s="9" t="str">
        <x:v>npm run lint、npm run typecheck、npm test、npm audit --audit-level=high</x:v>
      </x:c>
      <x:c r="H116" s="9" t="str">
        <x:v>失敗/skipを記録し未実施を成功にしない</x:v>
      </x:c>
      <x:c r="I116" s="10"/>
      <x:c r="J116" s="10"/>
      <x:c r="K116" s="10"/>
      <x:c r="L116" s="10"/>
      <x:c r="M116" s="11"/>
      <x:c r="N116" s="10"/>
      <x:c r="O116" s="10"/>
      <x:c r="P116" s="10"/>
      <x:c r="Q116" s="9" t="str">
        <x:v>package.json</x:v>
      </x:c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</x:sheetData>
  <x:mergeCells>
    <x:mergeCell ref="A2:F2"/>
    <x:mergeCell ref="A3:F3"/>
  </x:mergeCells>
  <x:dataValidations count="1">
    <x:dataValidation type="list" sqref="N6:N116">
      <x:formula1>"合格,不合格,保留,対象外"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a9030b613145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4" hidden="0" customWidth="1"/>
    <x:col min="8" max="8" width="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コア44機能・条件付き5機能の対応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作成基準 2026-10-09。仕様と記録の対応を確認するための参照表。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6" t="str">
        <x:v>機能ID</x:v>
      </x:c>
      <x:c r="B5" s="6" t="str">
        <x:v>機能名</x:v>
      </x:c>
      <x:c r="C5" s="6" t="str">
        <x:v>区分</x:v>
      </x:c>
      <x:c r="D5" s="6" t="str">
        <x:v>対応試験数</x:v>
      </x:c>
      <x:c r="E5" s="6" t="str">
        <x:v>合格数</x:v>
      </x:c>
      <x:c r="F5" s="6" t="str">
        <x:v>実施判定</x:v>
      </x:c>
      <x:c r="G5" s="6" t="str">
        <x:v>画面ID</x:v>
      </x:c>
      <x:c r="H5" s="6" t="str">
        <x:v>条件・実施範囲</x:v>
      </x:c>
    </x:row>
    <x:row r="6" ht="34" customHeight="1">
      <x:c r="A6" s="9" t="str">
        <x:v>F-1-1</x:v>
      </x:c>
      <x:c r="B6" s="9" t="str">
        <x:v>招待URLの発行・再発行・送付</x:v>
      </x:c>
      <x:c r="C6" s="9" t="str">
        <x:v>コア</x:v>
      </x:c>
      <x:c r="D6" s="9" t="n">
        <x:f>COUNTIFS('試験仕様'!$B$6:$B$116,A6)</x:f>
        <x:v>2</x:v>
      </x:c>
      <x:c r="E6" s="9" t="n">
        <x:f>COUNTIFS('試験仕様'!$B$6:$B$116,A6,'試験仕様'!$N$6:$N$116,"合格")</x:f>
        <x:v>0</x:v>
      </x:c>
      <x:c r="F6" s="9" t="str">
        <x:f>IF(C6="条件付き","採用時に設計",IF(E6=D6,"全ケース合格","実施・確認が必要"))</x:f>
        <x:v>実施・確認が必要</x:v>
      </x:c>
      <x:c r="G6" s="9" t="str">
        <x:v>K03, K02</x:v>
      </x:c>
      <x:c r="H6" s="9" t="str">
        <x:v>対象commitと模擬環境を試験行で記録</x:v>
      </x:c>
    </x:row>
    <x:row r="7" ht="34" customHeight="1">
      <x:c r="A7" s="8" t="str">
        <x:v>F-1-2</x:v>
      </x:c>
      <x:c r="B7" s="8" t="str">
        <x:v>招待URLから初回登録</x:v>
      </x:c>
      <x:c r="C7" s="8" t="str">
        <x:v>コア</x:v>
      </x:c>
      <x:c r="D7" s="8" t="n">
        <x:f>COUNTIFS('試験仕様'!$B$6:$B$116,A7)</x:f>
        <x:v>2</x:v>
      </x:c>
      <x:c r="E7" s="8" t="n">
        <x:f>COUNTIFS('試験仕様'!$B$6:$B$116,A7,'試験仕様'!$N$6:$N$116,"合格")</x:f>
        <x:v>0</x:v>
      </x:c>
      <x:c r="F7" s="8" t="str">
        <x:f>IF(C7="条件付き","採用時に設計",IF(E7=D7,"全ケース合格","実施・確認が必要"))</x:f>
        <x:v>実施・確認が必要</x:v>
      </x:c>
      <x:c r="G7" s="8" t="str">
        <x:v>P02</x:v>
      </x:c>
      <x:c r="H7" s="8" t="str">
        <x:v>対象commitと模擬環境を試験行で記録</x:v>
      </x:c>
    </x:row>
    <x:row r="8" ht="34" customHeight="1">
      <x:c r="A8" s="9" t="str">
        <x:v>F-1-3</x:v>
      </x:c>
      <x:c r="B8" s="9" t="str">
        <x:v>LINEアカウント紐付け</x:v>
      </x:c>
      <x:c r="C8" s="9" t="str">
        <x:v>コア</x:v>
      </x:c>
      <x:c r="D8" s="9" t="n">
        <x:f>COUNTIFS('試験仕様'!$B$6:$B$116,A8)</x:f>
        <x:v>2</x:v>
      </x:c>
      <x:c r="E8" s="9" t="n">
        <x:f>COUNTIFS('試験仕様'!$B$6:$B$116,A8,'試験仕様'!$N$6:$N$116,"合格")</x:f>
        <x:v>0</x:v>
      </x:c>
      <x:c r="F8" s="9" t="str">
        <x:f>IF(C8="条件付き","採用時に設計",IF(E8=D8,"全ケース合格","実施・確認が必要"))</x:f>
        <x:v>実施・確認が必要</x:v>
      </x:c>
      <x:c r="G8" s="9" t="str">
        <x:v>M06</x:v>
      </x:c>
      <x:c r="H8" s="9" t="str">
        <x:v>対象commitと模擬環境を試験行で記録</x:v>
      </x:c>
    </x:row>
    <x:row r="9" ht="34" customHeight="1">
      <x:c r="A9" s="8" t="str">
        <x:v>F-1-4</x:v>
      </x:c>
      <x:c r="B9" s="8" t="str">
        <x:v>ログイン・認証後の役割別遷移</x:v>
      </x:c>
      <x:c r="C9" s="8" t="str">
        <x:v>コア</x:v>
      </x:c>
      <x:c r="D9" s="8" t="n">
        <x:f>COUNTIFS('試験仕様'!$B$6:$B$116,A9)</x:f>
        <x:v>2</x:v>
      </x:c>
      <x:c r="E9" s="8" t="n">
        <x:f>COUNTIFS('試験仕様'!$B$6:$B$116,A9,'試験仕様'!$N$6:$N$116,"合格")</x:f>
        <x:v>0</x:v>
      </x:c>
      <x:c r="F9" s="8" t="str">
        <x:f>IF(C9="条件付き","採用時に設計",IF(E9=D9,"全ケース合格","実施・確認が必要"))</x:f>
        <x:v>実施・確認が必要</x:v>
      </x:c>
      <x:c r="G9" s="8" t="str">
        <x:v>P01</x:v>
      </x:c>
      <x:c r="H9" s="8" t="str">
        <x:v>対象commitと模擬環境を試験行で記録</x:v>
      </x:c>
    </x:row>
    <x:row r="10" ht="34" customHeight="1">
      <x:c r="A10" s="9" t="str">
        <x:v>F-1-5</x:v>
      </x:c>
      <x:c r="B10" s="9" t="str">
        <x:v>ログアウト</x:v>
      </x:c>
      <x:c r="C10" s="9" t="str">
        <x:v>コア</x:v>
      </x:c>
      <x:c r="D10" s="9" t="n">
        <x:f>COUNTIFS('試験仕様'!$B$6:$B$116,A10)</x:f>
        <x:v>2</x:v>
      </x:c>
      <x:c r="E10" s="9" t="n">
        <x:f>COUNTIFS('試験仕様'!$B$6:$B$116,A10,'試験仕様'!$N$6:$N$116,"合格")</x:f>
        <x:v>0</x:v>
      </x:c>
      <x:c r="F10" s="9" t="str">
        <x:f>IF(C10="条件付き","採用時に設計",IF(E10=D10,"全ケース合格","実施・確認が必要"))</x:f>
        <x:v>実施・確認が必要</x:v>
      </x:c>
      <x:c r="G10" s="9" t="str"/>
      <x:c r="H10" s="9" t="str">
        <x:v>対象commitと模擬環境を試験行で記録</x:v>
      </x:c>
    </x:row>
    <x:row r="11" ht="34" customHeight="1">
      <x:c r="A11" s="8" t="str">
        <x:v>F-1-6</x:v>
      </x:c>
      <x:c r="B11" s="8" t="str">
        <x:v>パスワード再設定・初回設定</x:v>
      </x:c>
      <x:c r="C11" s="8" t="str">
        <x:v>コア</x:v>
      </x:c>
      <x:c r="D11" s="8" t="n">
        <x:f>COUNTIFS('試験仕様'!$B$6:$B$116,A11)</x:f>
        <x:v>2</x:v>
      </x:c>
      <x:c r="E11" s="8" t="n">
        <x:f>COUNTIFS('試験仕様'!$B$6:$B$116,A11,'試験仕様'!$N$6:$N$116,"合格")</x:f>
        <x:v>0</x:v>
      </x:c>
      <x:c r="F11" s="8" t="str">
        <x:f>IF(C11="条件付き","採用時に設計",IF(E11=D11,"全ケース合格","実施・確認が必要"))</x:f>
        <x:v>実施・確認が必要</x:v>
      </x:c>
      <x:c r="G11" s="8" t="str">
        <x:v>P03</x:v>
      </x:c>
      <x:c r="H11" s="8" t="str">
        <x:v>対象commitと模擬環境を試験行で記録</x:v>
      </x:c>
    </x:row>
    <x:row r="12" ht="34" customHeight="1">
      <x:c r="A12" s="9" t="str">
        <x:v>F-2-1</x:v>
      </x:c>
      <x:c r="B12" s="9" t="str">
        <x:v>案件登録・採番・招待・初期宿題</x:v>
      </x:c>
      <x:c r="C12" s="9" t="str">
        <x:v>コア</x:v>
      </x:c>
      <x:c r="D12" s="9" t="n">
        <x:f>COUNTIFS('試験仕様'!$B$6:$B$116,A12)</x:f>
        <x:v>2</x:v>
      </x:c>
      <x:c r="E12" s="9" t="n">
        <x:f>COUNTIFS('試験仕様'!$B$6:$B$116,A12,'試験仕様'!$N$6:$N$116,"合格")</x:f>
        <x:v>0</x:v>
      </x:c>
      <x:c r="F12" s="9" t="str">
        <x:f>IF(C12="条件付き","採用時に設計",IF(E12=D12,"全ケース合格","実施・確認が必要"))</x:f>
        <x:v>実施・確認が必要</x:v>
      </x:c>
      <x:c r="G12" s="9" t="str">
        <x:v>K03</x:v>
      </x:c>
      <x:c r="H12" s="9" t="str">
        <x:v>対象commitと模擬環境を試験行で記録</x:v>
      </x:c>
    </x:row>
    <x:row r="13" ht="34" customHeight="1">
      <x:c r="A13" s="8" t="str">
        <x:v>F-2-2</x:v>
      </x:c>
      <x:c r="B13" s="8" t="str">
        <x:v>案件一覧・検索・並べ替え</x:v>
      </x:c>
      <x:c r="C13" s="8" t="str">
        <x:v>コア</x:v>
      </x:c>
      <x:c r="D13" s="8" t="n">
        <x:f>COUNTIFS('試験仕様'!$B$6:$B$116,A13)</x:f>
        <x:v>2</x:v>
      </x:c>
      <x:c r="E13" s="8" t="n">
        <x:f>COUNTIFS('試験仕様'!$B$6:$B$116,A13,'試験仕様'!$N$6:$N$116,"合格")</x:f>
        <x:v>0</x:v>
      </x:c>
      <x:c r="F13" s="8" t="str">
        <x:f>IF(C13="条件付き","採用時に設計",IF(E13=D13,"全ケース合格","実施・確認が必要"))</x:f>
        <x:v>実施・確認が必要</x:v>
      </x:c>
      <x:c r="G13" s="8" t="str">
        <x:v>K01</x:v>
      </x:c>
      <x:c r="H13" s="8" t="str">
        <x:v>対象commitと模擬環境を試験行で記録</x:v>
      </x:c>
    </x:row>
    <x:row r="14" ht="34" customHeight="1">
      <x:c r="A14" s="9" t="str">
        <x:v>F-2-3</x:v>
      </x:c>
      <x:c r="B14" s="9" t="str">
        <x:v>案件詳細・進捗表示</x:v>
      </x:c>
      <x:c r="C14" s="9" t="str">
        <x:v>コア</x:v>
      </x:c>
      <x:c r="D14" s="9" t="n">
        <x:f>COUNTIFS('試験仕様'!$B$6:$B$116,A14)</x:f>
        <x:v>2</x:v>
      </x:c>
      <x:c r="E14" s="9" t="n">
        <x:f>COUNTIFS('試験仕様'!$B$6:$B$116,A14,'試験仕様'!$N$6:$N$116,"合格")</x:f>
        <x:v>0</x:v>
      </x:c>
      <x:c r="F14" s="9" t="str">
        <x:f>IF(C14="条件付き","採用時に設計",IF(E14=D14,"全ケース合格","実施・確認が必要"))</x:f>
        <x:v>実施・確認が必要</x:v>
      </x:c>
      <x:c r="G14" s="9" t="str">
        <x:v>K02</x:v>
      </x:c>
      <x:c r="H14" s="9" t="str">
        <x:v>対象commitと模擬環境を試験行で記録</x:v>
      </x:c>
    </x:row>
    <x:row r="15" ht="34" customHeight="1">
      <x:c r="A15" s="8" t="str">
        <x:v>F-2-4</x:v>
      </x:c>
      <x:c r="B15" s="8" t="str">
        <x:v>案件変更・担当変更・期限再計算</x:v>
      </x:c>
      <x:c r="C15" s="8" t="str">
        <x:v>コア</x:v>
      </x:c>
      <x:c r="D15" s="8" t="n">
        <x:f>COUNTIFS('試験仕様'!$B$6:$B$116,A15)</x:f>
        <x:v>2</x:v>
      </x:c>
      <x:c r="E15" s="8" t="n">
        <x:f>COUNTIFS('試験仕様'!$B$6:$B$116,A15,'試験仕様'!$N$6:$N$116,"合格")</x:f>
        <x:v>0</x:v>
      </x:c>
      <x:c r="F15" s="8" t="str">
        <x:f>IF(C15="条件付き","採用時に設計",IF(E15=D15,"全ケース合格","実施・確認が必要"))</x:f>
        <x:v>実施・確認が必要</x:v>
      </x:c>
      <x:c r="G15" s="8" t="str">
        <x:v>K04</x:v>
      </x:c>
      <x:c r="H15" s="8" t="str">
        <x:v>対象commitと模擬環境を試験行で記録</x:v>
      </x:c>
    </x:row>
    <x:row r="16" ht="34" customHeight="1">
      <x:c r="A16" s="9" t="str">
        <x:v>F-2-5</x:v>
      </x:c>
      <x:c r="B16" s="9" t="str">
        <x:v>案件アーカイブ</x:v>
      </x:c>
      <x:c r="C16" s="9" t="str">
        <x:v>コア</x:v>
      </x:c>
      <x:c r="D16" s="9" t="n">
        <x:f>COUNTIFS('試験仕様'!$B$6:$B$116,A16)</x:f>
        <x:v>2</x:v>
      </x:c>
      <x:c r="E16" s="9" t="n">
        <x:f>COUNTIFS('試験仕様'!$B$6:$B$116,A16,'試験仕様'!$N$6:$N$116,"合格")</x:f>
        <x:v>0</x:v>
      </x:c>
      <x:c r="F16" s="9" t="str">
        <x:f>IF(C16="条件付き","採用時に設計",IF(E16=D16,"全ケース合格","実施・確認が必要"))</x:f>
        <x:v>実施・確認が必要</x:v>
      </x:c>
      <x:c r="G16" s="9" t="str">
        <x:v>K05</x:v>
      </x:c>
      <x:c r="H16" s="9" t="str">
        <x:v>対象commitと模擬環境を試験行で記録</x:v>
      </x:c>
    </x:row>
    <x:row r="17" ht="34" customHeight="1">
      <x:c r="A17" s="8" t="str">
        <x:v>F-2-6</x:v>
      </x:c>
      <x:c r="B17" s="8" t="str">
        <x:v>案件復元</x:v>
      </x:c>
      <x:c r="C17" s="8" t="str">
        <x:v>コア</x:v>
      </x:c>
      <x:c r="D17" s="8" t="n">
        <x:f>COUNTIFS('試験仕様'!$B$6:$B$116,A17)</x:f>
        <x:v>2</x:v>
      </x:c>
      <x:c r="E17" s="8" t="n">
        <x:f>COUNTIFS('試験仕様'!$B$6:$B$116,A17,'試験仕様'!$N$6:$N$116,"合格")</x:f>
        <x:v>0</x:v>
      </x:c>
      <x:c r="F17" s="8" t="str">
        <x:f>IF(C17="条件付き","採用時に設計",IF(E17=D17,"全ケース合格","実施・確認が必要"))</x:f>
        <x:v>実施・確認が必要</x:v>
      </x:c>
      <x:c r="G17" s="8" t="str">
        <x:v>K01, K05</x:v>
      </x:c>
      <x:c r="H17" s="8" t="str">
        <x:v>対象commitと模擬環境を試験行で記録</x:v>
      </x:c>
    </x:row>
    <x:row r="18" ht="34" customHeight="1">
      <x:c r="A18" s="9" t="str">
        <x:v>F-3-1</x:v>
      </x:c>
      <x:c r="B18" s="9" t="str">
        <x:v>coupleのダッシュボード</x:v>
      </x:c>
      <x:c r="C18" s="9" t="str">
        <x:v>コア</x:v>
      </x:c>
      <x:c r="D18" s="9" t="n">
        <x:f>COUNTIFS('試験仕様'!$B$6:$B$116,A18)</x:f>
        <x:v>2</x:v>
      </x:c>
      <x:c r="E18" s="9" t="n">
        <x:f>COUNTIFS('試験仕様'!$B$6:$B$116,A18,'試験仕様'!$N$6:$N$116,"合格")</x:f>
        <x:v>0</x:v>
      </x:c>
      <x:c r="F18" s="9" t="str">
        <x:f>IF(C18="条件付き","採用時に設計",IF(E18=D18,"全ケース合格","実施・確認が必要"))</x:f>
        <x:v>実施・確認が必要</x:v>
      </x:c>
      <x:c r="G18" s="9" t="str">
        <x:v>M01</x:v>
      </x:c>
      <x:c r="H18" s="9" t="str">
        <x:v>対象commitと模擬環境を試験行で記録</x:v>
      </x:c>
    </x:row>
    <x:row r="19" ht="34" customHeight="1">
      <x:c r="A19" s="8" t="str">
        <x:v>F-3-2</x:v>
      </x:c>
      <x:c r="B19" s="8" t="str">
        <x:v>coupleの宿題一覧・状態表示</x:v>
      </x:c>
      <x:c r="C19" s="8" t="str">
        <x:v>コア</x:v>
      </x:c>
      <x:c r="D19" s="8" t="n">
        <x:f>COUNTIFS('試験仕様'!$B$6:$B$116,A19)</x:f>
        <x:v>2</x:v>
      </x:c>
      <x:c r="E19" s="8" t="n">
        <x:f>COUNTIFS('試験仕様'!$B$6:$B$116,A19,'試験仕様'!$N$6:$N$116,"合格")</x:f>
        <x:v>0</x:v>
      </x:c>
      <x:c r="F19" s="8" t="str">
        <x:f>IF(C19="条件付き","採用時に設計",IF(E19=D19,"全ケース合格","実施・確認が必要"))</x:f>
        <x:v>実施・確認が必要</x:v>
      </x:c>
      <x:c r="G19" s="8" t="str">
        <x:v>M02</x:v>
      </x:c>
      <x:c r="H19" s="8" t="str">
        <x:v>対象commitと模擬環境を試験行で記録</x:v>
      </x:c>
    </x:row>
    <x:row r="20" ht="34" customHeight="1">
      <x:c r="A20" s="9" t="str">
        <x:v>F-3-3</x:v>
      </x:c>
      <x:c r="B20" s="9" t="str">
        <x:v>宿題提出・一時保存・再提出</x:v>
      </x:c>
      <x:c r="C20" s="9" t="str">
        <x:v>コア</x:v>
      </x:c>
      <x:c r="D20" s="9" t="n">
        <x:f>COUNTIFS('試験仕様'!$B$6:$B$116,A20)</x:f>
        <x:v>2</x:v>
      </x:c>
      <x:c r="E20" s="9" t="n">
        <x:f>COUNTIFS('試験仕様'!$B$6:$B$116,A20,'試験仕様'!$N$6:$N$116,"合格")</x:f>
        <x:v>0</x:v>
      </x:c>
      <x:c r="F20" s="9" t="str">
        <x:f>IF(C20="条件付き","採用時に設計",IF(E20=D20,"全ケース合格","実施・確認が必要"))</x:f>
        <x:v>実施・確認が必要</x:v>
      </x:c>
      <x:c r="G20" s="9" t="str">
        <x:v>M03</x:v>
      </x:c>
      <x:c r="H20" s="9" t="str">
        <x:v>対象commitと模擬環境を試験行で記録</x:v>
      </x:c>
    </x:row>
    <x:row r="21" ht="34" customHeight="1">
      <x:c r="A21" s="8" t="str">
        <x:v>F-3-4</x:v>
      </x:c>
      <x:c r="B21" s="8" t="str">
        <x:v>逆算した準備タイムライン</x:v>
      </x:c>
      <x:c r="C21" s="8" t="str">
        <x:v>コア</x:v>
      </x:c>
      <x:c r="D21" s="8" t="n">
        <x:f>COUNTIFS('試験仕様'!$B$6:$B$116,A21)</x:f>
        <x:v>2</x:v>
      </x:c>
      <x:c r="E21" s="8" t="n">
        <x:f>COUNTIFS('試験仕様'!$B$6:$B$116,A21,'試験仕様'!$N$6:$N$116,"合格")</x:f>
        <x:v>0</x:v>
      </x:c>
      <x:c r="F21" s="8" t="str">
        <x:f>IF(C21="条件付き","採用時に設計",IF(E21=D21,"全ケース合格","実施・確認が必要"))</x:f>
        <x:v>実施・確認が必要</x:v>
      </x:c>
      <x:c r="G21" s="8" t="str">
        <x:v>M04</x:v>
      </x:c>
      <x:c r="H21" s="8" t="str">
        <x:v>対象commitと模擬環境を試験行で記録</x:v>
      </x:c>
    </x:row>
    <x:row r="22" ht="34" customHeight="1">
      <x:c r="A22" s="9" t="str">
        <x:v>F-3-5</x:v>
      </x:c>
      <x:c r="B22" s="9" t="str">
        <x:v>coupleの通知一覧</x:v>
      </x:c>
      <x:c r="C22" s="9" t="str">
        <x:v>コア</x:v>
      </x:c>
      <x:c r="D22" s="9" t="n">
        <x:f>COUNTIFS('試験仕様'!$B$6:$B$116,A22)</x:f>
        <x:v>2</x:v>
      </x:c>
      <x:c r="E22" s="9" t="n">
        <x:f>COUNTIFS('試験仕様'!$B$6:$B$116,A22,'試験仕様'!$N$6:$N$116,"合格")</x:f>
        <x:v>0</x:v>
      </x:c>
      <x:c r="F22" s="9" t="str">
        <x:f>IF(C22="条件付き","採用時に設計",IF(E22=D22,"全ケース合格","実施・確認が必要"))</x:f>
        <x:v>実施・確認が必要</x:v>
      </x:c>
      <x:c r="G22" s="9" t="str">
        <x:v>M05</x:v>
      </x:c>
      <x:c r="H22" s="9" t="str">
        <x:v>対象commitと模擬環境を試験行で記録</x:v>
      </x:c>
    </x:row>
    <x:row r="23" ht="34" customHeight="1">
      <x:c r="A23" s="8" t="str">
        <x:v>F-4-1</x:v>
      </x:c>
      <x:c r="B23" s="8" t="str">
        <x:v>プランナーの案件サマリー</x:v>
      </x:c>
      <x:c r="C23" s="8" t="str">
        <x:v>コア</x:v>
      </x:c>
      <x:c r="D23" s="8" t="n">
        <x:f>COUNTIFS('試験仕様'!$B$6:$B$116,A23)</x:f>
        <x:v>2</x:v>
      </x:c>
      <x:c r="E23" s="8" t="n">
        <x:f>COUNTIFS('試験仕様'!$B$6:$B$116,A23,'試験仕様'!$N$6:$N$116,"合格")</x:f>
        <x:v>0</x:v>
      </x:c>
      <x:c r="F23" s="8" t="str">
        <x:f>IF(C23="条件付き","採用時に設計",IF(E23=D23,"全ケース合格","実施・確認が必要"))</x:f>
        <x:v>実施・確認が必要</x:v>
      </x:c>
      <x:c r="G23" s="8" t="str">
        <x:v>D01</x:v>
      </x:c>
      <x:c r="H23" s="8" t="str">
        <x:v>対象commitと模擬環境を試験行で記録</x:v>
      </x:c>
    </x:row>
    <x:row r="24" ht="34" customHeight="1">
      <x:c r="A24" s="9" t="str">
        <x:v>F-4-2</x:v>
      </x:c>
      <x:c r="B24" s="9" t="str">
        <x:v>今日フォローすべき案件と根拠</x:v>
      </x:c>
      <x:c r="C24" s="9" t="str">
        <x:v>コア</x:v>
      </x:c>
      <x:c r="D24" s="9" t="n">
        <x:f>COUNTIFS('試験仕様'!$B$6:$B$116,A24)</x:f>
        <x:v>2</x:v>
      </x:c>
      <x:c r="E24" s="9" t="n">
        <x:f>COUNTIFS('試験仕様'!$B$6:$B$116,A24,'試験仕様'!$N$6:$N$116,"合格")</x:f>
        <x:v>0</x:v>
      </x:c>
      <x:c r="F24" s="9" t="str">
        <x:f>IF(C24="条件付き","採用時に設計",IF(E24=D24,"全ケース合格","実施・確認が必要"))</x:f>
        <x:v>実施・確認が必要</x:v>
      </x:c>
      <x:c r="G24" s="9" t="str">
        <x:v>D01</x:v>
      </x:c>
      <x:c r="H24" s="9" t="str">
        <x:v>対象commitと模擬環境を試験行で記録</x:v>
      </x:c>
    </x:row>
    <x:row r="25" ht="34" customHeight="1">
      <x:c r="A25" s="8" t="str">
        <x:v>F-4-3</x:v>
      </x:c>
      <x:c r="B25" s="8" t="str">
        <x:v>提出物の確認・不備指摘</x:v>
      </x:c>
      <x:c r="C25" s="8" t="str">
        <x:v>コア</x:v>
      </x:c>
      <x:c r="D25" s="8" t="n">
        <x:f>COUNTIFS('試験仕様'!$B$6:$B$116,A25)</x:f>
        <x:v>2</x:v>
      </x:c>
      <x:c r="E25" s="8" t="n">
        <x:f>COUNTIFS('試験仕様'!$B$6:$B$116,A25,'試験仕様'!$N$6:$N$116,"合格")</x:f>
        <x:v>0</x:v>
      </x:c>
      <x:c r="F25" s="8" t="str">
        <x:f>IF(C25="条件付き","採用時に設計",IF(E25=D25,"全ケース合格","実施・確認が必要"))</x:f>
        <x:v>実施・確認が必要</x:v>
      </x:c>
      <x:c r="G25" s="8" t="str">
        <x:v>D02</x:v>
      </x:c>
      <x:c r="H25" s="8" t="str">
        <x:v>対象commitと模擬環境を試験行で記録</x:v>
      </x:c>
    </x:row>
    <x:row r="26" ht="34" customHeight="1">
      <x:c r="A26" s="9" t="str">
        <x:v>F-4-4</x:v>
      </x:c>
      <x:c r="B26" s="9" t="str">
        <x:v>フォロー記録</x:v>
      </x:c>
      <x:c r="C26" s="9" t="str">
        <x:v>コア</x:v>
      </x:c>
      <x:c r="D26" s="9" t="n">
        <x:f>COUNTIFS('試験仕様'!$B$6:$B$116,A26)</x:f>
        <x:v>2</x:v>
      </x:c>
      <x:c r="E26" s="9" t="n">
        <x:f>COUNTIFS('試験仕様'!$B$6:$B$116,A26,'試験仕様'!$N$6:$N$116,"合格")</x:f>
        <x:v>0</x:v>
      </x:c>
      <x:c r="F26" s="9" t="str">
        <x:f>IF(C26="条件付き","採用時に設計",IF(E26=D26,"全ケース合格","実施・確認が必要"))</x:f>
        <x:v>実施・確認が必要</x:v>
      </x:c>
      <x:c r="G26" s="9" t="str">
        <x:v>D04</x:v>
      </x:c>
      <x:c r="H26" s="9" t="str">
        <x:v>対象commitと模擬環境を試験行で記録</x:v>
      </x:c>
    </x:row>
    <x:row r="27" ht="34" customHeight="1">
      <x:c r="A27" s="8" t="str">
        <x:v>F-4-5</x:v>
      </x:c>
      <x:c r="B27" s="8" t="str">
        <x:v>打ち合わせ前準備シート・印刷</x:v>
      </x:c>
      <x:c r="C27" s="8" t="str">
        <x:v>コア</x:v>
      </x:c>
      <x:c r="D27" s="8" t="n">
        <x:f>COUNTIFS('試験仕様'!$B$6:$B$116,A27)</x:f>
        <x:v>2</x:v>
      </x:c>
      <x:c r="E27" s="8" t="n">
        <x:f>COUNTIFS('試験仕様'!$B$6:$B$116,A27,'試験仕様'!$N$6:$N$116,"合格")</x:f>
        <x:v>0</x:v>
      </x:c>
      <x:c r="F27" s="8" t="str">
        <x:f>IF(C27="条件付き","採用時に設計",IF(E27=D27,"全ケース合格","実施・確認が必要"))</x:f>
        <x:v>実施・確認が必要</x:v>
      </x:c>
      <x:c r="G27" s="8" t="str">
        <x:v>D03</x:v>
      </x:c>
      <x:c r="H27" s="8" t="str">
        <x:v>対象commitと模擬環境を試験行で記録</x:v>
      </x:c>
    </x:row>
    <x:row r="28" ht="34" customHeight="1">
      <x:c r="A28" s="9" t="str">
        <x:v>F-5-1</x:v>
      </x:c>
      <x:c r="B28" s="9" t="str">
        <x:v>宿題テンプレート一覧</x:v>
      </x:c>
      <x:c r="C28" s="9" t="str">
        <x:v>コア</x:v>
      </x:c>
      <x:c r="D28" s="9" t="n">
        <x:f>COUNTIFS('試験仕様'!$B$6:$B$116,A28)</x:f>
        <x:v>2</x:v>
      </x:c>
      <x:c r="E28" s="9" t="n">
        <x:f>COUNTIFS('試験仕様'!$B$6:$B$116,A28,'試験仕様'!$N$6:$N$116,"合格")</x:f>
        <x:v>0</x:v>
      </x:c>
      <x:c r="F28" s="9" t="str">
        <x:f>IF(C28="条件付き","採用時に設計",IF(E28=D28,"全ケース合格","実施・確認が必要"))</x:f>
        <x:v>実施・確認が必要</x:v>
      </x:c>
      <x:c r="G28" s="9" t="str">
        <x:v>T01</x:v>
      </x:c>
      <x:c r="H28" s="9" t="str">
        <x:v>対象commitと模擬環境を試験行で記録</x:v>
      </x:c>
    </x:row>
    <x:row r="29" ht="34" customHeight="1">
      <x:c r="A29" s="8" t="str">
        <x:v>F-5-2</x:v>
      </x:c>
      <x:c r="B29" s="8" t="str">
        <x:v>宿題テンプレート登録・編集</x:v>
      </x:c>
      <x:c r="C29" s="8" t="str">
        <x:v>コア</x:v>
      </x:c>
      <x:c r="D29" s="8" t="n">
        <x:f>COUNTIFS('試験仕様'!$B$6:$B$116,A29)</x:f>
        <x:v>2</x:v>
      </x:c>
      <x:c r="E29" s="8" t="n">
        <x:f>COUNTIFS('試験仕様'!$B$6:$B$116,A29,'試験仕様'!$N$6:$N$116,"合格")</x:f>
        <x:v>0</x:v>
      </x:c>
      <x:c r="F29" s="8" t="str">
        <x:f>IF(C29="条件付き","採用時に設計",IF(E29=D29,"全ケース合格","実施・確認が必要"))</x:f>
        <x:v>実施・確認が必要</x:v>
      </x:c>
      <x:c r="G29" s="8" t="str">
        <x:v>T02</x:v>
      </x:c>
      <x:c r="H29" s="8" t="str">
        <x:v>対象commitと模擬環境を試験行で記録</x:v>
      </x:c>
    </x:row>
    <x:row r="30" ht="34" customHeight="1">
      <x:c r="A30" s="9" t="str">
        <x:v>F-5-3</x:v>
      </x:c>
      <x:c r="B30" s="9" t="str">
        <x:v>プラン種別・テンプレートセット</x:v>
      </x:c>
      <x:c r="C30" s="9" t="str">
        <x:v>コア</x:v>
      </x:c>
      <x:c r="D30" s="9" t="n">
        <x:f>COUNTIFS('試験仕様'!$B$6:$B$116,A30)</x:f>
        <x:v>2</x:v>
      </x:c>
      <x:c r="E30" s="9" t="n">
        <x:f>COUNTIFS('試験仕様'!$B$6:$B$116,A30,'試験仕様'!$N$6:$N$116,"合格")</x:f>
        <x:v>0</x:v>
      </x:c>
      <x:c r="F30" s="9" t="str">
        <x:f>IF(C30="条件付き","採用時に設計",IF(E30=D30,"全ケース合格","実施・確認が必要"))</x:f>
        <x:v>実施・確認が必要</x:v>
      </x:c>
      <x:c r="G30" s="9" t="str">
        <x:v>T03</x:v>
      </x:c>
      <x:c r="H30" s="9" t="str">
        <x:v>対象commitと模擬環境を試験行で記録</x:v>
      </x:c>
    </x:row>
    <x:row r="31" ht="34" customHeight="1">
      <x:c r="A31" s="8" t="str">
        <x:v>F-5-4</x:v>
      </x:c>
      <x:c r="B31" s="8" t="str">
        <x:v>案件への宿題一括割当</x:v>
      </x:c>
      <x:c r="C31" s="8" t="str">
        <x:v>コア</x:v>
      </x:c>
      <x:c r="D31" s="8" t="n">
        <x:f>COUNTIFS('試験仕様'!$B$6:$B$116,A31)</x:f>
        <x:v>2</x:v>
      </x:c>
      <x:c r="E31" s="8" t="n">
        <x:f>COUNTIFS('試験仕様'!$B$6:$B$116,A31,'試験仕様'!$N$6:$N$116,"合格")</x:f>
        <x:v>0</x:v>
      </x:c>
      <x:c r="F31" s="8" t="str">
        <x:f>IF(C31="条件付き","採用時に設計",IF(E31=D31,"全ケース合格","実施・確認が必要"))</x:f>
        <x:v>実施・確認が必要</x:v>
      </x:c>
      <x:c r="G31" s="8" t="str">
        <x:v>K03</x:v>
      </x:c>
      <x:c r="H31" s="8" t="str">
        <x:v>対象commitと模擬環境を試験行で記録</x:v>
      </x:c>
    </x:row>
    <x:row r="32" ht="34" customHeight="1">
      <x:c r="A32" s="9" t="str">
        <x:v>F-5-5</x:v>
      </x:c>
      <x:c r="B32" s="9" t="str">
        <x:v>宿題の追加・期限変更・対応不要</x:v>
      </x:c>
      <x:c r="C32" s="9" t="str">
        <x:v>コア</x:v>
      </x:c>
      <x:c r="D32" s="9" t="n">
        <x:f>COUNTIFS('試験仕様'!$B$6:$B$116,A32)</x:f>
        <x:v>2</x:v>
      </x:c>
      <x:c r="E32" s="9" t="n">
        <x:f>COUNTIFS('試験仕様'!$B$6:$B$116,A32,'試験仕様'!$N$6:$N$116,"合格")</x:f>
        <x:v>0</x:v>
      </x:c>
      <x:c r="F32" s="9" t="str">
        <x:f>IF(C32="条件付き","採用時に設計",IF(E32=D32,"全ケース合格","実施・確認が必要"))</x:f>
        <x:v>実施・確認が必要</x:v>
      </x:c>
      <x:c r="G32" s="9" t="str">
        <x:v>K02</x:v>
      </x:c>
      <x:c r="H32" s="9" t="str">
        <x:v>対象commitと模擬環境を試験行で記録</x:v>
      </x:c>
    </x:row>
    <x:row r="33" ht="34" customHeight="1">
      <x:c r="A33" s="8" t="str">
        <x:v>F-6-1</x:v>
      </x:c>
      <x:c r="B33" s="8" t="str">
        <x:v>ルールによるリスク算出・保存</x:v>
      </x:c>
      <x:c r="C33" s="8" t="str">
        <x:v>コア</x:v>
      </x:c>
      <x:c r="D33" s="8" t="n">
        <x:f>COUNTIFS('試験仕様'!$B$6:$B$116,A33)</x:f>
        <x:v>2</x:v>
      </x:c>
      <x:c r="E33" s="8" t="n">
        <x:f>COUNTIFS('試験仕様'!$B$6:$B$116,A33,'試験仕様'!$N$6:$N$116,"合格")</x:f>
        <x:v>0</x:v>
      </x:c>
      <x:c r="F33" s="8" t="str">
        <x:f>IF(C33="条件付き","採用時に設計",IF(E33=D33,"全ケース合格","実施・確認が必要"))</x:f>
        <x:v>実施・確認が必要</x:v>
      </x:c>
      <x:c r="G33" s="8" t="str"/>
      <x:c r="H33" s="8" t="str">
        <x:v>対象commitと模擬環境を試験行で記録</x:v>
      </x:c>
    </x:row>
    <x:row r="34" ht="34" customHeight="1">
      <x:c r="A34" s="9" t="str">
        <x:v>F-6-2</x:v>
      </x:c>
      <x:c r="B34" s="9" t="str">
        <x:v>リスクスコア・根拠の表示</x:v>
      </x:c>
      <x:c r="C34" s="9" t="str">
        <x:v>コア</x:v>
      </x:c>
      <x:c r="D34" s="9" t="n">
        <x:f>COUNTIFS('試験仕様'!$B$6:$B$116,A34)</x:f>
        <x:v>2</x:v>
      </x:c>
      <x:c r="E34" s="9" t="n">
        <x:f>COUNTIFS('試験仕様'!$B$6:$B$116,A34,'試験仕様'!$N$6:$N$116,"合格")</x:f>
        <x:v>0</x:v>
      </x:c>
      <x:c r="F34" s="9" t="str">
        <x:f>IF(C34="条件付き","採用時に設計",IF(E34=D34,"全ケース合格","実施・確認が必要"))</x:f>
        <x:v>実施・確認が必要</x:v>
      </x:c>
      <x:c r="G34" s="9" t="str">
        <x:v>D01, K01, K02</x:v>
      </x:c>
      <x:c r="H34" s="9" t="str">
        <x:v>対象commitと模擬環境を試験行で記録</x:v>
      </x:c>
    </x:row>
    <x:row r="35" ht="34" customHeight="1">
      <x:c r="A35" s="8" t="str">
        <x:v>F-6-3</x:v>
      </x:c>
      <x:c r="B35" s="8" t="str">
        <x:v>coupleからリスクを隠す</x:v>
      </x:c>
      <x:c r="C35" s="8" t="str">
        <x:v>コア</x:v>
      </x:c>
      <x:c r="D35" s="8" t="n">
        <x:f>COUNTIFS('試験仕様'!$B$6:$B$116,A35)</x:f>
        <x:v>2</x:v>
      </x:c>
      <x:c r="E35" s="8" t="n">
        <x:f>COUNTIFS('試験仕様'!$B$6:$B$116,A35,'試験仕様'!$N$6:$N$116,"合格")</x:f>
        <x:v>0</x:v>
      </x:c>
      <x:c r="F35" s="8" t="str">
        <x:f>IF(C35="条件付き","採用時に設計",IF(E35=D35,"全ケース合格","実施・確認が必要"))</x:f>
        <x:v>実施・確認が必要</x:v>
      </x:c>
      <x:c r="G35" s="8" t="str">
        <x:v>M01, M04</x:v>
      </x:c>
      <x:c r="H35" s="8" t="str">
        <x:v>対象commitと模擬環境を試験行で記録</x:v>
      </x:c>
    </x:row>
    <x:row r="36" ht="34" customHeight="1">
      <x:c r="A36" s="9" t="str">
        <x:v>F-7-1</x:v>
      </x:c>
      <x:c r="B36" s="9" t="str">
        <x:v>重要通知・LINE上限・メール代替</x:v>
      </x:c>
      <x:c r="C36" s="9" t="str">
        <x:v>コア</x:v>
      </x:c>
      <x:c r="D36" s="9" t="n">
        <x:f>COUNTIFS('試験仕様'!$B$6:$B$116,A36)</x:f>
        <x:v>2</x:v>
      </x:c>
      <x:c r="E36" s="9" t="n">
        <x:f>COUNTIFS('試験仕様'!$B$6:$B$116,A36,'試験仕様'!$N$6:$N$116,"合格")</x:f>
        <x:v>0</x:v>
      </x:c>
      <x:c r="F36" s="9" t="str">
        <x:f>IF(C36="条件付き","採用時に設計",IF(E36=D36,"全ケース合格","実施・確認が必要"))</x:f>
        <x:v>実施・確認が必要</x:v>
      </x:c>
      <x:c r="G36" s="9" t="str"/>
      <x:c r="H36" s="9" t="str">
        <x:v>対象commitと模擬環境を試験行で記録</x:v>
      </x:c>
    </x:row>
    <x:row r="37" ht="34" customHeight="1">
      <x:c r="A37" s="8" t="str">
        <x:v>F-7-2</x:v>
      </x:c>
      <x:c r="B37" s="8" t="str">
        <x:v>マイページ内通知</x:v>
      </x:c>
      <x:c r="C37" s="8" t="str">
        <x:v>コア</x:v>
      </x:c>
      <x:c r="D37" s="8" t="n">
        <x:f>COUNTIFS('試験仕様'!$B$6:$B$116,A37)</x:f>
        <x:v>2</x:v>
      </x:c>
      <x:c r="E37" s="8" t="n">
        <x:f>COUNTIFS('試験仕様'!$B$6:$B$116,A37,'試験仕様'!$N$6:$N$116,"合格")</x:f>
        <x:v>0</x:v>
      </x:c>
      <x:c r="F37" s="8" t="str">
        <x:f>IF(C37="条件付き","採用時に設計",IF(E37=D37,"全ケース合格","実施・確認が必要"))</x:f>
        <x:v>実施・確認が必要</x:v>
      </x:c>
      <x:c r="G37" s="8" t="str">
        <x:v>M05</x:v>
      </x:c>
      <x:c r="H37" s="8" t="str">
        <x:v>対象commitと模擬環境を試験行で記録</x:v>
      </x:c>
    </x:row>
    <x:row r="38" ht="34" customHeight="1">
      <x:c r="A38" s="9" t="str">
        <x:v>F-7-3</x:v>
      </x:c>
      <x:c r="B38" s="9" t="str">
        <x:v>通知履歴・送信結果</x:v>
      </x:c>
      <x:c r="C38" s="9" t="str">
        <x:v>コア</x:v>
      </x:c>
      <x:c r="D38" s="9" t="n">
        <x:f>COUNTIFS('試験仕様'!$B$6:$B$116,A38)</x:f>
        <x:v>2</x:v>
      </x:c>
      <x:c r="E38" s="9" t="n">
        <x:f>COUNTIFS('試験仕様'!$B$6:$B$116,A38,'試験仕様'!$N$6:$N$116,"合格")</x:f>
        <x:v>0</x:v>
      </x:c>
      <x:c r="F38" s="9" t="str">
        <x:f>IF(C38="条件付き","採用時に設計",IF(E38=D38,"全ケース合格","実施・確認が必要"))</x:f>
        <x:v>実施・確認が必要</x:v>
      </x:c>
      <x:c r="G38" s="9" t="str">
        <x:v>N01, M05</x:v>
      </x:c>
      <x:c r="H38" s="9" t="str">
        <x:v>対象commitと模擬環境を試験行で記録</x:v>
      </x:c>
    </x:row>
    <x:row r="39" ht="34" customHeight="1">
      <x:c r="A39" s="8" t="str">
        <x:v>F-8-1</x:v>
      </x:c>
      <x:c r="B39" s="8" t="str">
        <x:v>利用者・式場一覧</x:v>
      </x:c>
      <x:c r="C39" s="8" t="str">
        <x:v>コア</x:v>
      </x:c>
      <x:c r="D39" s="8" t="n">
        <x:f>COUNTIFS('試験仕様'!$B$6:$B$116,A39)</x:f>
        <x:v>2</x:v>
      </x:c>
      <x:c r="E39" s="8" t="n">
        <x:f>COUNTIFS('試験仕様'!$B$6:$B$116,A39,'試験仕様'!$N$6:$N$116,"合格")</x:f>
        <x:v>0</x:v>
      </x:c>
      <x:c r="F39" s="8" t="str">
        <x:f>IF(C39="条件付き","採用時に設計",IF(E39=D39,"全ケース合格","実施・確認が必要"))</x:f>
        <x:v>実施・確認が必要</x:v>
      </x:c>
      <x:c r="G39" s="8" t="str">
        <x:v>U01, S01</x:v>
      </x:c>
      <x:c r="H39" s="8" t="str">
        <x:v>対象commitと模擬環境を試験行で記録</x:v>
      </x:c>
    </x:row>
    <x:row r="40" ht="34" customHeight="1">
      <x:c r="A40" s="9" t="str">
        <x:v>F-8-2</x:v>
      </x:c>
      <x:c r="B40" s="9" t="str">
        <x:v>利用者・式場の登録</x:v>
      </x:c>
      <x:c r="C40" s="9" t="str">
        <x:v>コア</x:v>
      </x:c>
      <x:c r="D40" s="9" t="n">
        <x:f>COUNTIFS('試験仕様'!$B$6:$B$116,A40)</x:f>
        <x:v>2</x:v>
      </x:c>
      <x:c r="E40" s="9" t="n">
        <x:f>COUNTIFS('試験仕様'!$B$6:$B$116,A40,'試験仕様'!$N$6:$N$116,"合格")</x:f>
        <x:v>0</x:v>
      </x:c>
      <x:c r="F40" s="9" t="str">
        <x:f>IF(C40="条件付き","採用時に設計",IF(E40=D40,"全ケース合格","実施・確認が必要"))</x:f>
        <x:v>実施・確認が必要</x:v>
      </x:c>
      <x:c r="G40" s="9" t="str">
        <x:v>U02, S02</x:v>
      </x:c>
      <x:c r="H40" s="9" t="str">
        <x:v>対象commitと模擬環境を試験行で記録</x:v>
      </x:c>
    </x:row>
    <x:row r="41" ht="34" customHeight="1">
      <x:c r="A41" s="8" t="str">
        <x:v>F-8-3</x:v>
      </x:c>
      <x:c r="B41" s="8" t="str">
        <x:v>利用者・式場の変更</x:v>
      </x:c>
      <x:c r="C41" s="8" t="str">
        <x:v>コア</x:v>
      </x:c>
      <x:c r="D41" s="8" t="n">
        <x:f>COUNTIFS('試験仕様'!$B$6:$B$116,A41)</x:f>
        <x:v>2</x:v>
      </x:c>
      <x:c r="E41" s="8" t="n">
        <x:f>COUNTIFS('試験仕様'!$B$6:$B$116,A41,'試験仕様'!$N$6:$N$116,"合格")</x:f>
        <x:v>0</x:v>
      </x:c>
      <x:c r="F41" s="8" t="str">
        <x:f>IF(C41="条件付き","採用時に設計",IF(E41=D41,"全ケース合格","実施・確認が必要"))</x:f>
        <x:v>実施・確認が必要</x:v>
      </x:c>
      <x:c r="G41" s="8" t="str">
        <x:v>U03, S02</x:v>
      </x:c>
      <x:c r="H41" s="8" t="str">
        <x:v>対象commitと模擬環境を試験行で記録</x:v>
      </x:c>
    </x:row>
    <x:row r="42" ht="34" customHeight="1">
      <x:c r="A42" s="9" t="str">
        <x:v>F-8-4</x:v>
      </x:c>
      <x:c r="B42" s="9" t="str">
        <x:v>利用者の停止・論理削除・引継ぎ</x:v>
      </x:c>
      <x:c r="C42" s="9" t="str">
        <x:v>コア</x:v>
      </x:c>
      <x:c r="D42" s="9" t="n">
        <x:f>COUNTIFS('試験仕様'!$B$6:$B$116,A42)</x:f>
        <x:v>2</x:v>
      </x:c>
      <x:c r="E42" s="9" t="n">
        <x:f>COUNTIFS('試験仕様'!$B$6:$B$116,A42,'試験仕様'!$N$6:$N$116,"合格")</x:f>
        <x:v>0</x:v>
      </x:c>
      <x:c r="F42" s="9" t="str">
        <x:f>IF(C42="条件付き","採用時に設計",IF(E42=D42,"全ケース合格","実施・確認が必要"))</x:f>
        <x:v>実施・確認が必要</x:v>
      </x:c>
      <x:c r="G42" s="9" t="str">
        <x:v>U04</x:v>
      </x:c>
      <x:c r="H42" s="9" t="str">
        <x:v>対象commitと模擬環境を試験行で記録</x:v>
      </x:c>
    </x:row>
    <x:row r="43" ht="34" customHeight="1">
      <x:c r="A43" s="8" t="str">
        <x:v>F-8-5</x:v>
      </x:c>
      <x:c r="B43" s="8" t="str">
        <x:v>システム利用状況・通知ログ・CSV</x:v>
      </x:c>
      <x:c r="C43" s="8" t="str">
        <x:v>コア</x:v>
      </x:c>
      <x:c r="D43" s="8" t="n">
        <x:f>COUNTIFS('試験仕様'!$B$6:$B$116,A43)</x:f>
        <x:v>2</x:v>
      </x:c>
      <x:c r="E43" s="8" t="n">
        <x:f>COUNTIFS('試験仕様'!$B$6:$B$116,A43,'試験仕様'!$N$6:$N$116,"合格")</x:f>
        <x:v>0</x:v>
      </x:c>
      <x:c r="F43" s="8" t="str">
        <x:f>IF(C43="条件付き","採用時に設計",IF(E43=D43,"全ケース合格","実施・確認が必要"))</x:f>
        <x:v>実施・確認が必要</x:v>
      </x:c>
      <x:c r="G43" s="8" t="str">
        <x:v>S03</x:v>
      </x:c>
      <x:c r="H43" s="8" t="str">
        <x:v>対象commitと模擬環境を試験行で記録</x:v>
      </x:c>
    </x:row>
    <x:row r="44" ht="34" customHeight="1">
      <x:c r="A44" s="9" t="str">
        <x:v>F-9-1</x:v>
      </x:c>
      <x:c r="B44" s="9" t="str">
        <x:v>自由記述分類と修正・採用</x:v>
      </x:c>
      <x:c r="C44" s="9" t="str">
        <x:v>コア</x:v>
      </x:c>
      <x:c r="D44" s="9" t="n">
        <x:f>COUNTIFS('試験仕様'!$B$6:$B$116,A44)</x:f>
        <x:v>2</x:v>
      </x:c>
      <x:c r="E44" s="9" t="n">
        <x:f>COUNTIFS('試験仕様'!$B$6:$B$116,A44,'試験仕様'!$N$6:$N$116,"合格")</x:f>
        <x:v>0</x:v>
      </x:c>
      <x:c r="F44" s="9" t="str">
        <x:f>IF(C44="条件付き","採用時に設計",IF(E44=D44,"全ケース合格","実施・確認が必要"))</x:f>
        <x:v>実施・確認が必要</x:v>
      </x:c>
      <x:c r="G44" s="9" t="str">
        <x:v>D02, K02</x:v>
      </x:c>
      <x:c r="H44" s="9" t="str">
        <x:v>対象commitと模擬環境を試験行で記録</x:v>
      </x:c>
    </x:row>
    <x:row r="45" ht="34" customHeight="1">
      <x:c r="A45" s="8" t="str">
        <x:v>F-9-2</x:v>
      </x:c>
      <x:c r="B45" s="8" t="str">
        <x:v>準備シート下書きと採用</x:v>
      </x:c>
      <x:c r="C45" s="8" t="str">
        <x:v>コア</x:v>
      </x:c>
      <x:c r="D45" s="8" t="n">
        <x:f>COUNTIFS('試験仕様'!$B$6:$B$116,A45)</x:f>
        <x:v>2</x:v>
      </x:c>
      <x:c r="E45" s="8" t="n">
        <x:f>COUNTIFS('試験仕様'!$B$6:$B$116,A45,'試験仕様'!$N$6:$N$116,"合格")</x:f>
        <x:v>0</x:v>
      </x:c>
      <x:c r="F45" s="8" t="str">
        <x:f>IF(C45="条件付き","採用時に設計",IF(E45=D45,"全ケース合格","実施・確認が必要"))</x:f>
        <x:v>実施・確認が必要</x:v>
      </x:c>
      <x:c r="G45" s="8" t="str">
        <x:v>D03</x:v>
      </x:c>
      <x:c r="H45" s="8" t="str">
        <x:v>対象commitと模擬環境を試験行で記録</x:v>
      </x:c>
    </x:row>
    <x:row r="46" ht="34" customHeight="1">
      <x:c r="A46" s="9" t="str">
        <x:v>F-9-3</x:v>
      </x:c>
      <x:c r="B46" s="9" t="str">
        <x:v>コメント文面下書き</x:v>
      </x:c>
      <x:c r="C46" s="9" t="str">
        <x:v>コア</x:v>
      </x:c>
      <x:c r="D46" s="9" t="n">
        <x:f>COUNTIFS('試験仕様'!$B$6:$B$116,A46)</x:f>
        <x:v>2</x:v>
      </x:c>
      <x:c r="E46" s="9" t="n">
        <x:f>COUNTIFS('試験仕様'!$B$6:$B$116,A46,'試験仕様'!$N$6:$N$116,"合格")</x:f>
        <x:v>0</x:v>
      </x:c>
      <x:c r="F46" s="9" t="str">
        <x:f>IF(C46="条件付き","採用時に設計",IF(E46=D46,"全ケース合格","実施・確認が必要"))</x:f>
        <x:v>実施・確認が必要</x:v>
      </x:c>
      <x:c r="G46" s="9" t="str">
        <x:v>D02</x:v>
      </x:c>
      <x:c r="H46" s="9" t="str">
        <x:v>対象commitと模擬環境を試験行で記録</x:v>
      </x:c>
    </x:row>
    <x:row r="47" ht="34" customHeight="1">
      <x:c r="A47" s="8" t="str">
        <x:v>F-9-4</x:v>
      </x:c>
      <x:c r="B47" s="8" t="str">
        <x:v>提出CSVの不備一次チェック</x:v>
      </x:c>
      <x:c r="C47" s="8" t="str">
        <x:v>コア</x:v>
      </x:c>
      <x:c r="D47" s="8" t="n">
        <x:f>COUNTIFS('試験仕様'!$B$6:$B$116,A47)</x:f>
        <x:v>2</x:v>
      </x:c>
      <x:c r="E47" s="8" t="n">
        <x:f>COUNTIFS('試験仕様'!$B$6:$B$116,A47,'試験仕様'!$N$6:$N$116,"合格")</x:f>
        <x:v>0</x:v>
      </x:c>
      <x:c r="F47" s="8" t="str">
        <x:f>IF(C47="条件付き","採用時に設計",IF(E47=D47,"全ケース合格","実施・確認が必要"))</x:f>
        <x:v>実施・確認が必要</x:v>
      </x:c>
      <x:c r="G47" s="8" t="str">
        <x:v>D02</x:v>
      </x:c>
      <x:c r="H47" s="8" t="str">
        <x:v>対象commitと模擬環境を試験行で記録</x:v>
      </x:c>
    </x:row>
    <x:row r="48" ht="34" customHeight="1">
      <x:c r="A48" s="9" t="str">
        <x:v>F-9-5</x:v>
      </x:c>
      <x:c r="B48" s="9" t="str">
        <x:v>打ち合わせ記録・宿題起票案</x:v>
      </x:c>
      <x:c r="C48" s="9" t="str">
        <x:v>コア</x:v>
      </x:c>
      <x:c r="D48" s="9" t="n">
        <x:f>COUNTIFS('試験仕様'!$B$6:$B$116,A48)</x:f>
        <x:v>2</x:v>
      </x:c>
      <x:c r="E48" s="9" t="n">
        <x:f>COUNTIFS('試験仕様'!$B$6:$B$116,A48,'試験仕様'!$N$6:$N$116,"合格")</x:f>
        <x:v>0</x:v>
      </x:c>
      <x:c r="F48" s="9" t="str">
        <x:f>IF(C48="条件付き","採用時に設計",IF(E48=D48,"全ケース合格","実施・確認が必要"))</x:f>
        <x:v>実施・確認が必要</x:v>
      </x:c>
      <x:c r="G48" s="9" t="str">
        <x:v>D05</x:v>
      </x:c>
      <x:c r="H48" s="9" t="str">
        <x:v>対象commitと模擬環境を試験行で記録</x:v>
      </x:c>
    </x:row>
    <x:row r="49" ht="34" customHeight="1">
      <x:c r="A49" s="8" t="str">
        <x:v>F-9-6</x:v>
      </x:c>
      <x:c r="B49" s="8" t="str">
        <x:v>AI共通ジョブ基盤</x:v>
      </x:c>
      <x:c r="C49" s="8" t="str">
        <x:v>コア</x:v>
      </x:c>
      <x:c r="D49" s="8" t="n">
        <x:f>COUNTIFS('試験仕様'!$B$6:$B$116,A49)</x:f>
        <x:v>2</x:v>
      </x:c>
      <x:c r="E49" s="8" t="n">
        <x:f>COUNTIFS('試験仕様'!$B$6:$B$116,A49,'試験仕様'!$N$6:$N$116,"合格")</x:f>
        <x:v>0</x:v>
      </x:c>
      <x:c r="F49" s="8" t="str">
        <x:f>IF(C49="条件付き","採用時に設計",IF(E49=D49,"全ケース合格","実施・確認が必要"))</x:f>
        <x:v>実施・確認が必要</x:v>
      </x:c>
      <x:c r="G49" s="8" t="str"/>
      <x:c r="H49" s="8" t="str">
        <x:v>対象commitと模擬環境を試験行で記録</x:v>
      </x:c>
    </x:row>
    <x:row r="50" ht="34" customHeight="1">
      <x:c r="A50" s="9" t="str">
        <x:v>F-9-7</x:v>
      </x:c>
      <x:c r="B50" s="9" t="str">
        <x:v>FAQ一次回答・RAG</x:v>
      </x:c>
      <x:c r="C50" s="9" t="str">
        <x:v>条件付き</x:v>
      </x:c>
      <x:c r="D50" s="9" t="n">
        <x:f>COUNTIFS('試験仕様'!$B$6:$B$116,A50)</x:f>
        <x:v>1</x:v>
      </x:c>
      <x:c r="E50" s="9" t="n">
        <x:f>COUNTIFS('試験仕様'!$B$6:$B$116,A50,'試験仕様'!$N$6:$N$116,"合格")</x:f>
        <x:v>0</x:v>
      </x:c>
      <x:c r="F50" s="9" t="str">
        <x:f>IF(C50="条件付き","採用時に設計",IF(E50=D50,"全ケース合格","実施・確認が必要"))</x:f>
        <x:v>採用時に設計</x:v>
      </x:c>
      <x:c r="G50" s="9" t="str">
        <x:v>M01</x:v>
      </x:c>
      <x:c r="H50" s="9" t="str">
        <x:v>将来候補。採用されるまで必須試験の対象外</x:v>
      </x:c>
    </x:row>
    <x:row r="51" ht="34" customHeight="1">
      <x:c r="A51" s="8" t="str">
        <x:v>F-9-8</x:v>
      </x:c>
      <x:c r="B51" s="8" t="str">
        <x:v>遅延時リスケジュール案</x:v>
      </x:c>
      <x:c r="C51" s="8" t="str">
        <x:v>条件付き</x:v>
      </x:c>
      <x:c r="D51" s="8" t="n">
        <x:f>COUNTIFS('試験仕様'!$B$6:$B$116,A51)</x:f>
        <x:v>1</x:v>
      </x:c>
      <x:c r="E51" s="8" t="n">
        <x:f>COUNTIFS('試験仕様'!$B$6:$B$116,A51,'試験仕様'!$N$6:$N$116,"合格")</x:f>
        <x:v>0</x:v>
      </x:c>
      <x:c r="F51" s="8" t="str">
        <x:f>IF(C51="条件付き","採用時に設計",IF(E51=D51,"全ケース合格","実施・確認が必要"))</x:f>
        <x:v>採用時に設計</x:v>
      </x:c>
      <x:c r="G51" s="8" t="str">
        <x:v>K02</x:v>
      </x:c>
      <x:c r="H51" s="8" t="str">
        <x:v>将来候補。採用されるまで必須試験の対象外</x:v>
      </x:c>
    </x:row>
    <x:row r="52" ht="34" customHeight="1">
      <x:c r="A52" s="9" t="str">
        <x:v>F-9-9</x:v>
      </x:c>
      <x:c r="B52" s="9" t="str">
        <x:v>担当引継ぎサマリー</x:v>
      </x:c>
      <x:c r="C52" s="9" t="str">
        <x:v>条件付き</x:v>
      </x:c>
      <x:c r="D52" s="9" t="n">
        <x:f>COUNTIFS('試験仕様'!$B$6:$B$116,A52)</x:f>
        <x:v>1</x:v>
      </x:c>
      <x:c r="E52" s="9" t="n">
        <x:f>COUNTIFS('試験仕様'!$B$6:$B$116,A52,'試験仕様'!$N$6:$N$116,"合格")</x:f>
        <x:v>0</x:v>
      </x:c>
      <x:c r="F52" s="9" t="str">
        <x:f>IF(C52="条件付き","採用時に設計",IF(E52=D52,"全ケース合格","実施・確認が必要"))</x:f>
        <x:v>採用時に設計</x:v>
      </x:c>
      <x:c r="G52" s="9" t="str">
        <x:v>K02</x:v>
      </x:c>
      <x:c r="H52" s="9" t="str">
        <x:v>将来候補。採用されるまで必須試験の対象外</x:v>
      </x:c>
    </x:row>
    <x:row r="53" ht="34" customHeight="1">
      <x:c r="A53" s="8" t="str">
        <x:v>F-9-10</x:v>
      </x:c>
      <x:c r="B53" s="8" t="str">
        <x:v>宿題テンプレートセット案</x:v>
      </x:c>
      <x:c r="C53" s="8" t="str">
        <x:v>条件付き</x:v>
      </x:c>
      <x:c r="D53" s="8" t="n">
        <x:f>COUNTIFS('試験仕様'!$B$6:$B$116,A53)</x:f>
        <x:v>1</x:v>
      </x:c>
      <x:c r="E53" s="8" t="n">
        <x:f>COUNTIFS('試験仕様'!$B$6:$B$116,A53,'試験仕様'!$N$6:$N$116,"合格")</x:f>
        <x:v>0</x:v>
      </x:c>
      <x:c r="F53" s="8" t="str">
        <x:f>IF(C53="条件付き","採用時に設計",IF(E53=D53,"全ケース合格","実施・確認が必要"))</x:f>
        <x:v>採用時に設計</x:v>
      </x:c>
      <x:c r="G53" s="8" t="str">
        <x:v>T03</x:v>
      </x:c>
      <x:c r="H53" s="8" t="str">
        <x:v>将来候補。採用されるまで必須試験の対象外</x:v>
      </x:c>
    </x:row>
    <x:row r="54" ht="34" customHeight="1">
      <x:c r="A54" s="9" t="str">
        <x:v>F-9-11</x:v>
      </x:c>
      <x:c r="B54" s="9" t="str">
        <x:v>翻訳補助</x:v>
      </x:c>
      <x:c r="C54" s="9" t="str">
        <x:v>条件付き</x:v>
      </x:c>
      <x:c r="D54" s="9" t="n">
        <x:f>COUNTIFS('試験仕様'!$B$6:$B$116,A54)</x:f>
        <x:v>1</x:v>
      </x:c>
      <x:c r="E54" s="9" t="n">
        <x:f>COUNTIFS('試験仕様'!$B$6:$B$116,A54,'試験仕様'!$N$6:$N$116,"合格")</x:f>
        <x:v>0</x:v>
      </x:c>
      <x:c r="F54" s="9" t="str">
        <x:f>IF(C54="条件付き","採用時に設計",IF(E54=D54,"全ケース合格","実施・確認が必要"))</x:f>
        <x:v>採用時に設計</x:v>
      </x:c>
      <x:c r="G54" s="9" t="str">
        <x:v>D02</x:v>
      </x:c>
      <x:c r="H54" s="9" t="str">
        <x:v>将来候補。採用されるまで必須試験の対象外</x:v>
      </x:c>
    </x:row>
    <x:row r="55">
      <x:c r="A55" s="1"/>
      <x:c r="B55" s="1"/>
      <x:c r="C55" s="1"/>
      <x:c r="D55" s="1"/>
      <x:c r="E55" s="1"/>
      <x:c r="F55" s="1"/>
      <x:c r="G55" s="1"/>
      <x:c r="H55" s="1"/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77f9856ca6404f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72" hidden="0" customWidth="1"/>
    <x:col min="4" max="4" width="63" hidden="0" customWidth="1"/>
    <x:col min="5" max="5" width="66" hidden="0" customWidth="1"/>
  </x:cols>
  <x:sheetData>
    <x:row r="1">
      <x:c r="A1" s="1"/>
      <x:c r="B1" s="1"/>
      <x:c r="C1" s="1"/>
      <x:c r="D1" s="1"/>
      <x:c r="E1" s="1"/>
    </x:row>
    <x:row r="2" ht="30" customHeight="1">
      <x:c r="A2" s="2" t="str">
        <x:v>校内模擬評価の実施計画</x:v>
      </x:c>
      <x:c r="B2" s="1"/>
      <x:c r="C2" s="1"/>
      <x:c r="D2" s="1"/>
      <x:c r="E2" s="1"/>
    </x:row>
    <x:row r="3" ht="24" customHeight="1">
      <x:c r="A3" s="1" t="str">
        <x:v>作成基準 2026-10-09。仕様と記録の対応を確認するための参照表。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6" t="str">
        <x:v>評価ID</x:v>
      </x:c>
      <x:c r="B5" s="6" t="str">
        <x:v>項目</x:v>
      </x:c>
      <x:c r="C5" s="6" t="str">
        <x:v>手順</x:v>
      </x:c>
      <x:c r="D5" s="6" t="str">
        <x:v>記録する値</x:v>
      </x:c>
      <x:c r="E5" s="6" t="str">
        <x:v>集計・解釈の条件</x:v>
      </x:c>
    </x:row>
    <x:row r="6" ht="40" customHeight="1">
      <x:c r="A6" s="9" t="str">
        <x:v>EVAL-01</x:v>
      </x:c>
      <x:c r="B6" s="9" t="str">
        <x:v>工数削減</x:v>
      </x:c>
      <x:c r="C6" s="9" t="str">
        <x:v>同一の匿名案件で従来手順とアプリ手順を各3回。順序を交互にし同じ開始/終了条件を使う</x:v>
      </x:c>
      <x:c r="D6" s="9" t="str">
        <x:v>基準秒数/アプリ秒数/差分、端末、操作範囲</x:v>
      </x:c>
      <x:c r="E6" s="9" t="str">
        <x:v>1回だけの速さを月間削減量へ外挿しない</x:v>
      </x:c>
    </x:row>
    <x:row r="7" ht="34" customHeight="1">
      <x:c r="A7" s="8" t="str">
        <x:v>EVAL-02</x:v>
      </x:c>
      <x:c r="B7" s="8" t="str">
        <x:v>提出漏れ検知・期限遵守</x:v>
      </x:c>
      <x:c r="C7" s="8" t="str">
        <x:v>正解付き10案件（未提出4、正常4、期限超過2）を準備し画面の検知と照合</x:v>
      </x:c>
      <x:c r="D7" s="8" t="str">
        <x:v>正解件数、検知件数、誤検知、期限内提出/期限対象</x:v>
      </x:c>
      <x:c r="E7" s="8" t="str">
        <x:v>検知率=正しい検知/既知の対象。期限遵守率は別分母</x:v>
      </x:c>
    </x:row>
    <x:row r="8" ht="34" customHeight="1">
      <x:c r="A8" s="9" t="str">
        <x:v>EVAL-03</x:v>
      </x:c>
      <x:c r="B8" s="9" t="str">
        <x:v>リスク判定</x:v>
      </x:c>
      <x:c r="C8" s="9" t="str">
        <x:v>匿名10シナリオを人が先に低/注意/高で判定し、その後アプリ結果と比較</x:v>
      </x:c>
      <x:c r="D8" s="9" t="str">
        <x:v>人の判定/アプリ判定/一致/乖離理由</x:v>
      </x:c>
      <x:c r="E8" s="9" t="str">
        <x:v>学校メンバーの模擬判断であり実プランナーの評価とは区別</x:v>
      </x:c>
    </x:row>
    <x:row r="9" ht="40" customHeight="1">
      <x:c r="A9" s="8" t="str">
        <x:v>EVAL-04</x:v>
      </x:c>
      <x:c r="B9" s="8" t="str">
        <x:v>使いやすさ</x:v>
      </x:c>
      <x:c r="C9" s="8" t="str">
        <x:v>couple役に次の宿題→提出→不備確認→再提出を行ってもらい5項目を1〜5で回答</x:v>
      </x:c>
      <x:c r="D9" s="8" t="str">
        <x:v>迷わず次の行動/提出操作/状態理解/エラー理解/再利用意向、自由記述</x:v>
      </x:c>
      <x:c r="E9" s="8" t="str">
        <x:v>独自5問。SUSスコアと呼ばない。氏名でなく参加者IDを使う</x:v>
      </x:c>
    </x:row>
    <x:row r="10" ht="40" customHeight="1">
      <x:c r="A10" s="9" t="str">
        <x:v>EVAL-05</x:v>
      </x:c>
      <x:c r="B10" s="9" t="str">
        <x:v>AI品質</x:v>
      </x:c>
      <x:c r="C10" s="9" t="str">
        <x:v>匿名10入力の人手正解を先に確定し分類・不備検出・下書き/起票採用を別々に測る</x:v>
      </x:c>
      <x:c r="D10" s="9" t="str">
        <x:v>分類正解、TP/FP/FN、採用数/提案数、修正内容</x:v>
      </x:c>
      <x:c r="E10" s="9" t="str">
        <x:v>アプリ内LLMの実行環境が必要。開発Agent AI契約は不要。停止時は未実施</x:v>
      </x:c>
    </x:row>
    <x:row r="11" ht="34" customHeight="1">
      <x:c r="A11" s="8" t="str">
        <x:v>EVAL-06</x:v>
      </x:c>
      <x:c r="B11" s="8" t="str">
        <x:v>デモ手順</x:v>
      </x:c>
      <x:c r="C11" s="8" t="str">
        <x:v>planner/couple/admin役で案件→提出→確認を通しAI停止時も再現</x:v>
      </x:c>
      <x:c r="D11" s="8" t="str">
        <x:v>台本の手順ID/成功可否/所要時間/迷った箇所</x:v>
      </x:c>
      <x:c r="E11" s="8" t="str">
        <x:v>docs/テスト/README.mdから始め、個人情報や秘密を投影しない</x:v>
      </x:c>
    </x:row>
    <x:row r="12" ht="34" customHeight="1">
      <x:c r="A12" s="9" t="str">
        <x:v>EVAL-07</x:v>
      </x:c>
      <x:c r="B12" s="9" t="str">
        <x:v>評価準備</x:v>
      </x:c>
      <x:c r="C12" s="9" t="str">
        <x:v>環境URL/対象commit/模擬データ/役割/記録場所/同意/AI可否/連絡先を確認</x:v>
      </x:c>
      <x:c r="D12" s="9" t="str">
        <x:v>8項目の確認者/確認日/未完理由</x:v>
      </x:c>
      <x:c r="E12" s="9" t="str">
        <x:v>未確認項目がある場合は実施開始と記録しない</x:v>
      </x:c>
    </x:row>
    <x:row r="13" ht="34" customHeight="1">
      <x:c r="A13" s="8" t="str">
        <x:v>EVAL-08</x:v>
      </x:c>
      <x:c r="B13" s="8" t="str">
        <x:v>結果・改善・まとめ</x:v>
      </x:c>
      <x:c r="C13" s="8" t="str">
        <x:v>各評価の証拠を集め結果/制約/改善Issue/再試験/最終発表の引用元を整理</x:v>
      </x:c>
      <x:c r="D13" s="8" t="str">
        <x:v>対象数、除外条件、測定結果、改善内容、証拠ID</x:v>
      </x:c>
      <x:c r="E13" s="8" t="str">
        <x:v>模擬評価の範囲で結論を書く。将来運用の成果を作らない</x:v>
      </x:c>
    </x:row>
    <x:row r="14">
      <x:c r="A14" s="1"/>
      <x:c r="B14" s="1"/>
      <x:c r="C14" s="1"/>
      <x:c r="D14" s="1"/>
      <x:c r="E14" s="1"/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b0535842aa9b4c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15" hidden="0" customWidth="1"/>
    <x:col min="3" max="3" width="20" hidden="0" customWidth="1"/>
    <x:col min="4" max="4" width="45" hidden="0" customWidth="1"/>
    <x:col min="5" max="5" width="30" hidden="0" customWidth="1"/>
    <x:col min="6" max="6" width="27" hidden="0" customWidth="1"/>
    <x:col min="7" max="7" width="27" hidden="0" customWidth="1"/>
    <x:col min="8" max="8" width="15" hidden="0" customWidth="1"/>
    <x:col min="9" max="9" width="15" hidden="0" customWidth="1"/>
    <x:col min="10" max="10" width="15" hidden="0" customWidth="1"/>
    <x:col min="11" max="11" width="50" hidden="0" customWidth="1"/>
    <x:col min="12" max="12" width="25" hidden="0" customWidth="1"/>
    <x:col min="13" max="13" width="18" hidden="0" customWidth="1"/>
    <x:col min="14" max="14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0" customHeight="1">
      <x:c r="A2" s="2" t="str">
        <x:v>校内模擬評価 記録欄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1" t="str">
        <x:v>作成基準 2026-10-09。黄色の欄に実施者が入力。未実施の結果・時間は空欄。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0" customHeight="1">
      <x:c r="A5" s="6" t="str">
        <x:v>記録ID</x:v>
      </x:c>
      <x:c r="B5" s="6" t="str">
        <x:v>評価ID</x:v>
      </x:c>
      <x:c r="C5" s="6" t="str">
        <x:v>参加者/案件ID</x:v>
      </x:c>
      <x:c r="D5" s="6" t="str">
        <x:v>シナリオ・測定対象</x:v>
      </x:c>
      <x:c r="E5" s="6" t="str">
        <x:v>対象commit/環境</x:v>
      </x:c>
      <x:c r="F5" s="6" t="str">
        <x:v>基準値/期待値</x:v>
      </x:c>
      <x:c r="G5" s="6" t="str">
        <x:v>実測値/判定</x:v>
      </x:c>
      <x:c r="H5" s="6" t="str">
        <x:v>分母（件）</x:v>
      </x:c>
      <x:c r="I5" s="6" t="str">
        <x:v>分子（件）</x:v>
      </x:c>
      <x:c r="J5" s="6" t="str">
        <x:v>比率</x:v>
      </x:c>
      <x:c r="K5" s="6" t="str">
        <x:v>所見・制約</x:v>
      </x:c>
      <x:c r="L5" s="6" t="str">
        <x:v>実施者/確認者</x:v>
      </x:c>
      <x:c r="M5" s="6" t="str">
        <x:v>実施日</x:v>
      </x:c>
      <x:c r="N5" s="6" t="str">
        <x:v>証拠/改善Issue</x:v>
      </x:c>
    </x:row>
    <x:row r="6" ht="34" customHeight="1">
      <x:c r="A6" s="9" t="str">
        <x:v>EVAL-01-1</x:v>
      </x:c>
      <x:c r="B6" s="9" t="str">
        <x:v>EVAL-01</x:v>
      </x:c>
      <x:c r="C6" s="10"/>
      <x:c r="D6" s="10"/>
      <x:c r="E6" s="10"/>
      <x:c r="F6" s="10"/>
      <x:c r="G6" s="10"/>
      <x:c r="H6" s="10"/>
      <x:c r="I6" s="10"/>
      <x:c r="J6" s="12" t="str">
        <x:f>IF(OR(H6="",I6="",H6=0),"",I6/H6)</x:f>
      </x:c>
      <x:c r="K6" s="10"/>
      <x:c r="L6" s="10"/>
      <x:c r="M6" s="14"/>
      <x:c r="N6" s="10"/>
    </x:row>
    <x:row r="7" ht="34" customHeight="1">
      <x:c r="A7" s="8" t="str">
        <x:v>EVAL-01-2</x:v>
      </x:c>
      <x:c r="B7" s="8" t="str">
        <x:v>EVAL-01</x:v>
      </x:c>
      <x:c r="C7" s="10"/>
      <x:c r="D7" s="10"/>
      <x:c r="E7" s="10"/>
      <x:c r="F7" s="10"/>
      <x:c r="G7" s="10"/>
      <x:c r="H7" s="10"/>
      <x:c r="I7" s="10"/>
      <x:c r="J7" s="13" t="str">
        <x:f>IF(OR(H7="",I7="",H7=0),"",I7/H7)</x:f>
      </x:c>
      <x:c r="K7" s="10"/>
      <x:c r="L7" s="10"/>
      <x:c r="M7" s="14"/>
      <x:c r="N7" s="10"/>
    </x:row>
    <x:row r="8" ht="34" customHeight="1">
      <x:c r="A8" s="9" t="str">
        <x:v>EVAL-01-3</x:v>
      </x:c>
      <x:c r="B8" s="9" t="str">
        <x:v>EVAL-01</x:v>
      </x:c>
      <x:c r="C8" s="10"/>
      <x:c r="D8" s="10"/>
      <x:c r="E8" s="10"/>
      <x:c r="F8" s="10"/>
      <x:c r="G8" s="10"/>
      <x:c r="H8" s="10"/>
      <x:c r="I8" s="10"/>
      <x:c r="J8" s="12" t="str">
        <x:f>IF(OR(H8="",I8="",H8=0),"",I8/H8)</x:f>
      </x:c>
      <x:c r="K8" s="10"/>
      <x:c r="L8" s="10"/>
      <x:c r="M8" s="14"/>
      <x:c r="N8" s="10"/>
    </x:row>
    <x:row r="9" ht="34" customHeight="1">
      <x:c r="A9" s="8" t="str">
        <x:v>EVAL-01-4</x:v>
      </x:c>
      <x:c r="B9" s="8" t="str">
        <x:v>EVAL-01</x:v>
      </x:c>
      <x:c r="C9" s="10"/>
      <x:c r="D9" s="10"/>
      <x:c r="E9" s="10"/>
      <x:c r="F9" s="10"/>
      <x:c r="G9" s="10"/>
      <x:c r="H9" s="10"/>
      <x:c r="I9" s="10"/>
      <x:c r="J9" s="13" t="str">
        <x:f>IF(OR(H9="",I9="",H9=0),"",I9/H9)</x:f>
      </x:c>
      <x:c r="K9" s="10"/>
      <x:c r="L9" s="10"/>
      <x:c r="M9" s="14"/>
      <x:c r="N9" s="10"/>
    </x:row>
    <x:row r="10" ht="34" customHeight="1">
      <x:c r="A10" s="9" t="str">
        <x:v>EVAL-01-5</x:v>
      </x:c>
      <x:c r="B10" s="9" t="str">
        <x:v>EVAL-01</x:v>
      </x:c>
      <x:c r="C10" s="10"/>
      <x:c r="D10" s="10"/>
      <x:c r="E10" s="10"/>
      <x:c r="F10" s="10"/>
      <x:c r="G10" s="10"/>
      <x:c r="H10" s="10"/>
      <x:c r="I10" s="10"/>
      <x:c r="J10" s="12" t="str">
        <x:f>IF(OR(H10="",I10="",H10=0),"",I10/H10)</x:f>
      </x:c>
      <x:c r="K10" s="10"/>
      <x:c r="L10" s="10"/>
      <x:c r="M10" s="14"/>
      <x:c r="N10" s="10"/>
    </x:row>
    <x:row r="11" ht="34" customHeight="1">
      <x:c r="A11" s="8" t="str">
        <x:v>EVAL-02-1</x:v>
      </x:c>
      <x:c r="B11" s="8" t="str">
        <x:v>EVAL-02</x:v>
      </x:c>
      <x:c r="C11" s="10"/>
      <x:c r="D11" s="10"/>
      <x:c r="E11" s="10"/>
      <x:c r="F11" s="10"/>
      <x:c r="G11" s="10"/>
      <x:c r="H11" s="10"/>
      <x:c r="I11" s="10"/>
      <x:c r="J11" s="13" t="str">
        <x:f>IF(OR(H11="",I11="",H11=0),"",I11/H11)</x:f>
      </x:c>
      <x:c r="K11" s="10"/>
      <x:c r="L11" s="10"/>
      <x:c r="M11" s="14"/>
      <x:c r="N11" s="10"/>
    </x:row>
    <x:row r="12" ht="34" customHeight="1">
      <x:c r="A12" s="9" t="str">
        <x:v>EVAL-02-2</x:v>
      </x:c>
      <x:c r="B12" s="9" t="str">
        <x:v>EVAL-02</x:v>
      </x:c>
      <x:c r="C12" s="10"/>
      <x:c r="D12" s="10"/>
      <x:c r="E12" s="10"/>
      <x:c r="F12" s="10"/>
      <x:c r="G12" s="10"/>
      <x:c r="H12" s="10"/>
      <x:c r="I12" s="10"/>
      <x:c r="J12" s="12" t="str">
        <x:f>IF(OR(H12="",I12="",H12=0),"",I12/H12)</x:f>
      </x:c>
      <x:c r="K12" s="10"/>
      <x:c r="L12" s="10"/>
      <x:c r="M12" s="14"/>
      <x:c r="N12" s="10"/>
    </x:row>
    <x:row r="13" ht="34" customHeight="1">
      <x:c r="A13" s="8" t="str">
        <x:v>EVAL-02-3</x:v>
      </x:c>
      <x:c r="B13" s="8" t="str">
        <x:v>EVAL-02</x:v>
      </x:c>
      <x:c r="C13" s="10"/>
      <x:c r="D13" s="10"/>
      <x:c r="E13" s="10"/>
      <x:c r="F13" s="10"/>
      <x:c r="G13" s="10"/>
      <x:c r="H13" s="10"/>
      <x:c r="I13" s="10"/>
      <x:c r="J13" s="13" t="str">
        <x:f>IF(OR(H13="",I13="",H13=0),"",I13/H13)</x:f>
      </x:c>
      <x:c r="K13" s="10"/>
      <x:c r="L13" s="10"/>
      <x:c r="M13" s="14"/>
      <x:c r="N13" s="10"/>
    </x:row>
    <x:row r="14" ht="34" customHeight="1">
      <x:c r="A14" s="9" t="str">
        <x:v>EVAL-02-4</x:v>
      </x:c>
      <x:c r="B14" s="9" t="str">
        <x:v>EVAL-02</x:v>
      </x:c>
      <x:c r="C14" s="10"/>
      <x:c r="D14" s="10"/>
      <x:c r="E14" s="10"/>
      <x:c r="F14" s="10"/>
      <x:c r="G14" s="10"/>
      <x:c r="H14" s="10"/>
      <x:c r="I14" s="10"/>
      <x:c r="J14" s="12" t="str">
        <x:f>IF(OR(H14="",I14="",H14=0),"",I14/H14)</x:f>
      </x:c>
      <x:c r="K14" s="10"/>
      <x:c r="L14" s="10"/>
      <x:c r="M14" s="14"/>
      <x:c r="N14" s="10"/>
    </x:row>
    <x:row r="15" ht="34" customHeight="1">
      <x:c r="A15" s="8" t="str">
        <x:v>EVAL-02-5</x:v>
      </x:c>
      <x:c r="B15" s="8" t="str">
        <x:v>EVAL-02</x:v>
      </x:c>
      <x:c r="C15" s="10"/>
      <x:c r="D15" s="10"/>
      <x:c r="E15" s="10"/>
      <x:c r="F15" s="10"/>
      <x:c r="G15" s="10"/>
      <x:c r="H15" s="10"/>
      <x:c r="I15" s="10"/>
      <x:c r="J15" s="13" t="str">
        <x:f>IF(OR(H15="",I15="",H15=0),"",I15/H15)</x:f>
      </x:c>
      <x:c r="K15" s="10"/>
      <x:c r="L15" s="10"/>
      <x:c r="M15" s="14"/>
      <x:c r="N15" s="10"/>
    </x:row>
    <x:row r="16" ht="34" customHeight="1">
      <x:c r="A16" s="9" t="str">
        <x:v>EVAL-03-1</x:v>
      </x:c>
      <x:c r="B16" s="9" t="str">
        <x:v>EVAL-03</x:v>
      </x:c>
      <x:c r="C16" s="10"/>
      <x:c r="D16" s="10"/>
      <x:c r="E16" s="10"/>
      <x:c r="F16" s="10"/>
      <x:c r="G16" s="10"/>
      <x:c r="H16" s="10"/>
      <x:c r="I16" s="10"/>
      <x:c r="J16" s="12" t="str">
        <x:f>IF(OR(H16="",I16="",H16=0),"",I16/H16)</x:f>
      </x:c>
      <x:c r="K16" s="10"/>
      <x:c r="L16" s="10"/>
      <x:c r="M16" s="14"/>
      <x:c r="N16" s="10"/>
    </x:row>
    <x:row r="17" ht="34" customHeight="1">
      <x:c r="A17" s="8" t="str">
        <x:v>EVAL-03-2</x:v>
      </x:c>
      <x:c r="B17" s="8" t="str">
        <x:v>EVAL-03</x:v>
      </x:c>
      <x:c r="C17" s="10"/>
      <x:c r="D17" s="10"/>
      <x:c r="E17" s="10"/>
      <x:c r="F17" s="10"/>
      <x:c r="G17" s="10"/>
      <x:c r="H17" s="10"/>
      <x:c r="I17" s="10"/>
      <x:c r="J17" s="13" t="str">
        <x:f>IF(OR(H17="",I17="",H17=0),"",I17/H17)</x:f>
      </x:c>
      <x:c r="K17" s="10"/>
      <x:c r="L17" s="10"/>
      <x:c r="M17" s="14"/>
      <x:c r="N17" s="10"/>
    </x:row>
    <x:row r="18" ht="34" customHeight="1">
      <x:c r="A18" s="9" t="str">
        <x:v>EVAL-03-3</x:v>
      </x:c>
      <x:c r="B18" s="9" t="str">
        <x:v>EVAL-03</x:v>
      </x:c>
      <x:c r="C18" s="10"/>
      <x:c r="D18" s="10"/>
      <x:c r="E18" s="10"/>
      <x:c r="F18" s="10"/>
      <x:c r="G18" s="10"/>
      <x:c r="H18" s="10"/>
      <x:c r="I18" s="10"/>
      <x:c r="J18" s="12" t="str">
        <x:f>IF(OR(H18="",I18="",H18=0),"",I18/H18)</x:f>
      </x:c>
      <x:c r="K18" s="10"/>
      <x:c r="L18" s="10"/>
      <x:c r="M18" s="14"/>
      <x:c r="N18" s="10"/>
    </x:row>
    <x:row r="19" ht="34" customHeight="1">
      <x:c r="A19" s="8" t="str">
        <x:v>EVAL-03-4</x:v>
      </x:c>
      <x:c r="B19" s="8" t="str">
        <x:v>EVAL-03</x:v>
      </x:c>
      <x:c r="C19" s="10"/>
      <x:c r="D19" s="10"/>
      <x:c r="E19" s="10"/>
      <x:c r="F19" s="10"/>
      <x:c r="G19" s="10"/>
      <x:c r="H19" s="10"/>
      <x:c r="I19" s="10"/>
      <x:c r="J19" s="13" t="str">
        <x:f>IF(OR(H19="",I19="",H19=0),"",I19/H19)</x:f>
      </x:c>
      <x:c r="K19" s="10"/>
      <x:c r="L19" s="10"/>
      <x:c r="M19" s="14"/>
      <x:c r="N19" s="10"/>
    </x:row>
    <x:row r="20" ht="34" customHeight="1">
      <x:c r="A20" s="9" t="str">
        <x:v>EVAL-03-5</x:v>
      </x:c>
      <x:c r="B20" s="9" t="str">
        <x:v>EVAL-03</x:v>
      </x:c>
      <x:c r="C20" s="10"/>
      <x:c r="D20" s="10"/>
      <x:c r="E20" s="10"/>
      <x:c r="F20" s="10"/>
      <x:c r="G20" s="10"/>
      <x:c r="H20" s="10"/>
      <x:c r="I20" s="10"/>
      <x:c r="J20" s="12" t="str">
        <x:f>IF(OR(H20="",I20="",H20=0),"",I20/H20)</x:f>
      </x:c>
      <x:c r="K20" s="10"/>
      <x:c r="L20" s="10"/>
      <x:c r="M20" s="14"/>
      <x:c r="N20" s="10"/>
    </x:row>
    <x:row r="21" ht="34" customHeight="1">
      <x:c r="A21" s="8" t="str">
        <x:v>EVAL-04-1</x:v>
      </x:c>
      <x:c r="B21" s="8" t="str">
        <x:v>EVAL-04</x:v>
      </x:c>
      <x:c r="C21" s="10"/>
      <x:c r="D21" s="10"/>
      <x:c r="E21" s="10"/>
      <x:c r="F21" s="10"/>
      <x:c r="G21" s="10"/>
      <x:c r="H21" s="10"/>
      <x:c r="I21" s="10"/>
      <x:c r="J21" s="13" t="str">
        <x:f>IF(OR(H21="",I21="",H21=0),"",I21/H21)</x:f>
      </x:c>
      <x:c r="K21" s="10"/>
      <x:c r="L21" s="10"/>
      <x:c r="M21" s="14"/>
      <x:c r="N21" s="10"/>
    </x:row>
    <x:row r="22" ht="34" customHeight="1">
      <x:c r="A22" s="9" t="str">
        <x:v>EVAL-04-2</x:v>
      </x:c>
      <x:c r="B22" s="9" t="str">
        <x:v>EVAL-04</x:v>
      </x:c>
      <x:c r="C22" s="10"/>
      <x:c r="D22" s="10"/>
      <x:c r="E22" s="10"/>
      <x:c r="F22" s="10"/>
      <x:c r="G22" s="10"/>
      <x:c r="H22" s="10"/>
      <x:c r="I22" s="10"/>
      <x:c r="J22" s="12" t="str">
        <x:f>IF(OR(H22="",I22="",H22=0),"",I22/H22)</x:f>
      </x:c>
      <x:c r="K22" s="10"/>
      <x:c r="L22" s="10"/>
      <x:c r="M22" s="14"/>
      <x:c r="N22" s="10"/>
    </x:row>
    <x:row r="23" ht="34" customHeight="1">
      <x:c r="A23" s="8" t="str">
        <x:v>EVAL-04-3</x:v>
      </x:c>
      <x:c r="B23" s="8" t="str">
        <x:v>EVAL-04</x:v>
      </x:c>
      <x:c r="C23" s="10"/>
      <x:c r="D23" s="10"/>
      <x:c r="E23" s="10"/>
      <x:c r="F23" s="10"/>
      <x:c r="G23" s="10"/>
      <x:c r="H23" s="10"/>
      <x:c r="I23" s="10"/>
      <x:c r="J23" s="13" t="str">
        <x:f>IF(OR(H23="",I23="",H23=0),"",I23/H23)</x:f>
      </x:c>
      <x:c r="K23" s="10"/>
      <x:c r="L23" s="10"/>
      <x:c r="M23" s="14"/>
      <x:c r="N23" s="10"/>
    </x:row>
    <x:row r="24" ht="34" customHeight="1">
      <x:c r="A24" s="9" t="str">
        <x:v>EVAL-04-4</x:v>
      </x:c>
      <x:c r="B24" s="9" t="str">
        <x:v>EVAL-04</x:v>
      </x:c>
      <x:c r="C24" s="10"/>
      <x:c r="D24" s="10"/>
      <x:c r="E24" s="10"/>
      <x:c r="F24" s="10"/>
      <x:c r="G24" s="10"/>
      <x:c r="H24" s="10"/>
      <x:c r="I24" s="10"/>
      <x:c r="J24" s="12" t="str">
        <x:f>IF(OR(H24="",I24="",H24=0),"",I24/H24)</x:f>
      </x:c>
      <x:c r="K24" s="10"/>
      <x:c r="L24" s="10"/>
      <x:c r="M24" s="14"/>
      <x:c r="N24" s="10"/>
    </x:row>
    <x:row r="25" ht="34" customHeight="1">
      <x:c r="A25" s="8" t="str">
        <x:v>EVAL-04-5</x:v>
      </x:c>
      <x:c r="B25" s="8" t="str">
        <x:v>EVAL-04</x:v>
      </x:c>
      <x:c r="C25" s="10"/>
      <x:c r="D25" s="10"/>
      <x:c r="E25" s="10"/>
      <x:c r="F25" s="10"/>
      <x:c r="G25" s="10"/>
      <x:c r="H25" s="10"/>
      <x:c r="I25" s="10"/>
      <x:c r="J25" s="13" t="str">
        <x:f>IF(OR(H25="",I25="",H25=0),"",I25/H25)</x:f>
      </x:c>
      <x:c r="K25" s="10"/>
      <x:c r="L25" s="10"/>
      <x:c r="M25" s="14"/>
      <x:c r="N25" s="10"/>
    </x:row>
    <x:row r="26" ht="34" customHeight="1">
      <x:c r="A26" s="9" t="str">
        <x:v>EVAL-05-1</x:v>
      </x:c>
      <x:c r="B26" s="9" t="str">
        <x:v>EVAL-05</x:v>
      </x:c>
      <x:c r="C26" s="10"/>
      <x:c r="D26" s="10"/>
      <x:c r="E26" s="10"/>
      <x:c r="F26" s="10"/>
      <x:c r="G26" s="10"/>
      <x:c r="H26" s="10"/>
      <x:c r="I26" s="10"/>
      <x:c r="J26" s="12" t="str">
        <x:f>IF(OR(H26="",I26="",H26=0),"",I26/H26)</x:f>
      </x:c>
      <x:c r="K26" s="10"/>
      <x:c r="L26" s="10"/>
      <x:c r="M26" s="14"/>
      <x:c r="N26" s="10"/>
    </x:row>
    <x:row r="27" ht="34" customHeight="1">
      <x:c r="A27" s="8" t="str">
        <x:v>EVAL-05-2</x:v>
      </x:c>
      <x:c r="B27" s="8" t="str">
        <x:v>EVAL-05</x:v>
      </x:c>
      <x:c r="C27" s="10"/>
      <x:c r="D27" s="10"/>
      <x:c r="E27" s="10"/>
      <x:c r="F27" s="10"/>
      <x:c r="G27" s="10"/>
      <x:c r="H27" s="10"/>
      <x:c r="I27" s="10"/>
      <x:c r="J27" s="13" t="str">
        <x:f>IF(OR(H27="",I27="",H27=0),"",I27/H27)</x:f>
      </x:c>
      <x:c r="K27" s="10"/>
      <x:c r="L27" s="10"/>
      <x:c r="M27" s="14"/>
      <x:c r="N27" s="10"/>
    </x:row>
    <x:row r="28" ht="34" customHeight="1">
      <x:c r="A28" s="9" t="str">
        <x:v>EVAL-05-3</x:v>
      </x:c>
      <x:c r="B28" s="9" t="str">
        <x:v>EVAL-05</x:v>
      </x:c>
      <x:c r="C28" s="10"/>
      <x:c r="D28" s="10"/>
      <x:c r="E28" s="10"/>
      <x:c r="F28" s="10"/>
      <x:c r="G28" s="10"/>
      <x:c r="H28" s="10"/>
      <x:c r="I28" s="10"/>
      <x:c r="J28" s="12" t="str">
        <x:f>IF(OR(H28="",I28="",H28=0),"",I28/H28)</x:f>
      </x:c>
      <x:c r="K28" s="10"/>
      <x:c r="L28" s="10"/>
      <x:c r="M28" s="14"/>
      <x:c r="N28" s="10"/>
    </x:row>
    <x:row r="29" ht="34" customHeight="1">
      <x:c r="A29" s="8" t="str">
        <x:v>EVAL-05-4</x:v>
      </x:c>
      <x:c r="B29" s="8" t="str">
        <x:v>EVAL-05</x:v>
      </x:c>
      <x:c r="C29" s="10"/>
      <x:c r="D29" s="10"/>
      <x:c r="E29" s="10"/>
      <x:c r="F29" s="10"/>
      <x:c r="G29" s="10"/>
      <x:c r="H29" s="10"/>
      <x:c r="I29" s="10"/>
      <x:c r="J29" s="13" t="str">
        <x:f>IF(OR(H29="",I29="",H29=0),"",I29/H29)</x:f>
      </x:c>
      <x:c r="K29" s="10"/>
      <x:c r="L29" s="10"/>
      <x:c r="M29" s="14"/>
      <x:c r="N29" s="10"/>
    </x:row>
    <x:row r="30" ht="34" customHeight="1">
      <x:c r="A30" s="9" t="str">
        <x:v>EVAL-05-5</x:v>
      </x:c>
      <x:c r="B30" s="9" t="str">
        <x:v>EVAL-05</x:v>
      </x:c>
      <x:c r="C30" s="10"/>
      <x:c r="D30" s="10"/>
      <x:c r="E30" s="10"/>
      <x:c r="F30" s="10"/>
      <x:c r="G30" s="10"/>
      <x:c r="H30" s="10"/>
      <x:c r="I30" s="10"/>
      <x:c r="J30" s="12" t="str">
        <x:f>IF(OR(H30="",I30="",H30=0),"",I30/H30)</x:f>
      </x:c>
      <x:c r="K30" s="10"/>
      <x:c r="L30" s="10"/>
      <x:c r="M30" s="14"/>
      <x:c r="N30" s="10"/>
    </x:row>
    <x:row r="31" ht="34" customHeight="1">
      <x:c r="A31" s="8" t="str">
        <x:v>EVAL-06-1</x:v>
      </x:c>
      <x:c r="B31" s="8" t="str">
        <x:v>EVAL-06</x:v>
      </x:c>
      <x:c r="C31" s="10"/>
      <x:c r="D31" s="10"/>
      <x:c r="E31" s="10"/>
      <x:c r="F31" s="10"/>
      <x:c r="G31" s="10"/>
      <x:c r="H31" s="10"/>
      <x:c r="I31" s="10"/>
      <x:c r="J31" s="13" t="str">
        <x:f>IF(OR(H31="",I31="",H31=0),"",I31/H31)</x:f>
      </x:c>
      <x:c r="K31" s="10"/>
      <x:c r="L31" s="10"/>
      <x:c r="M31" s="14"/>
      <x:c r="N31" s="10"/>
    </x:row>
    <x:row r="32" ht="34" customHeight="1">
      <x:c r="A32" s="9" t="str">
        <x:v>EVAL-06-2</x:v>
      </x:c>
      <x:c r="B32" s="9" t="str">
        <x:v>EVAL-06</x:v>
      </x:c>
      <x:c r="C32" s="10"/>
      <x:c r="D32" s="10"/>
      <x:c r="E32" s="10"/>
      <x:c r="F32" s="10"/>
      <x:c r="G32" s="10"/>
      <x:c r="H32" s="10"/>
      <x:c r="I32" s="10"/>
      <x:c r="J32" s="12" t="str">
        <x:f>IF(OR(H32="",I32="",H32=0),"",I32/H32)</x:f>
      </x:c>
      <x:c r="K32" s="10"/>
      <x:c r="L32" s="10"/>
      <x:c r="M32" s="14"/>
      <x:c r="N32" s="10"/>
    </x:row>
    <x:row r="33" ht="34" customHeight="1">
      <x:c r="A33" s="8" t="str">
        <x:v>EVAL-06-3</x:v>
      </x:c>
      <x:c r="B33" s="8" t="str">
        <x:v>EVAL-06</x:v>
      </x:c>
      <x:c r="C33" s="10"/>
      <x:c r="D33" s="10"/>
      <x:c r="E33" s="10"/>
      <x:c r="F33" s="10"/>
      <x:c r="G33" s="10"/>
      <x:c r="H33" s="10"/>
      <x:c r="I33" s="10"/>
      <x:c r="J33" s="13" t="str">
        <x:f>IF(OR(H33="",I33="",H33=0),"",I33/H33)</x:f>
      </x:c>
      <x:c r="K33" s="10"/>
      <x:c r="L33" s="10"/>
      <x:c r="M33" s="14"/>
      <x:c r="N33" s="10"/>
    </x:row>
    <x:row r="34" ht="34" customHeight="1">
      <x:c r="A34" s="9" t="str">
        <x:v>EVAL-06-4</x:v>
      </x:c>
      <x:c r="B34" s="9" t="str">
        <x:v>EVAL-06</x:v>
      </x:c>
      <x:c r="C34" s="10"/>
      <x:c r="D34" s="10"/>
      <x:c r="E34" s="10"/>
      <x:c r="F34" s="10"/>
      <x:c r="G34" s="10"/>
      <x:c r="H34" s="10"/>
      <x:c r="I34" s="10"/>
      <x:c r="J34" s="12" t="str">
        <x:f>IF(OR(H34="",I34="",H34=0),"",I34/H34)</x:f>
      </x:c>
      <x:c r="K34" s="10"/>
      <x:c r="L34" s="10"/>
      <x:c r="M34" s="14"/>
      <x:c r="N34" s="10"/>
    </x:row>
    <x:row r="35" ht="34" customHeight="1">
      <x:c r="A35" s="8" t="str">
        <x:v>EVAL-06-5</x:v>
      </x:c>
      <x:c r="B35" s="8" t="str">
        <x:v>EVAL-06</x:v>
      </x:c>
      <x:c r="C35" s="10"/>
      <x:c r="D35" s="10"/>
      <x:c r="E35" s="10"/>
      <x:c r="F35" s="10"/>
      <x:c r="G35" s="10"/>
      <x:c r="H35" s="10"/>
      <x:c r="I35" s="10"/>
      <x:c r="J35" s="13" t="str">
        <x:f>IF(OR(H35="",I35="",H35=0),"",I35/H35)</x:f>
      </x:c>
      <x:c r="K35" s="10"/>
      <x:c r="L35" s="10"/>
      <x:c r="M35" s="14"/>
      <x:c r="N35" s="10"/>
    </x:row>
    <x:row r="36" ht="34" customHeight="1">
      <x:c r="A36" s="9" t="str">
        <x:v>EVAL-07-1</x:v>
      </x:c>
      <x:c r="B36" s="9" t="str">
        <x:v>EVAL-07</x:v>
      </x:c>
      <x:c r="C36" s="10"/>
      <x:c r="D36" s="10"/>
      <x:c r="E36" s="10"/>
      <x:c r="F36" s="10"/>
      <x:c r="G36" s="10"/>
      <x:c r="H36" s="10"/>
      <x:c r="I36" s="10"/>
      <x:c r="J36" s="12" t="str">
        <x:f>IF(OR(H36="",I36="",H36=0),"",I36/H36)</x:f>
      </x:c>
      <x:c r="K36" s="10"/>
      <x:c r="L36" s="10"/>
      <x:c r="M36" s="14"/>
      <x:c r="N36" s="10"/>
    </x:row>
    <x:row r="37" ht="34" customHeight="1">
      <x:c r="A37" s="8" t="str">
        <x:v>EVAL-07-2</x:v>
      </x:c>
      <x:c r="B37" s="8" t="str">
        <x:v>EVAL-07</x:v>
      </x:c>
      <x:c r="C37" s="10"/>
      <x:c r="D37" s="10"/>
      <x:c r="E37" s="10"/>
      <x:c r="F37" s="10"/>
      <x:c r="G37" s="10"/>
      <x:c r="H37" s="10"/>
      <x:c r="I37" s="10"/>
      <x:c r="J37" s="13" t="str">
        <x:f>IF(OR(H37="",I37="",H37=0),"",I37/H37)</x:f>
      </x:c>
      <x:c r="K37" s="10"/>
      <x:c r="L37" s="10"/>
      <x:c r="M37" s="14"/>
      <x:c r="N37" s="10"/>
    </x:row>
    <x:row r="38" ht="34" customHeight="1">
      <x:c r="A38" s="9" t="str">
        <x:v>EVAL-07-3</x:v>
      </x:c>
      <x:c r="B38" s="9" t="str">
        <x:v>EVAL-07</x:v>
      </x:c>
      <x:c r="C38" s="10"/>
      <x:c r="D38" s="10"/>
      <x:c r="E38" s="10"/>
      <x:c r="F38" s="10"/>
      <x:c r="G38" s="10"/>
      <x:c r="H38" s="10"/>
      <x:c r="I38" s="10"/>
      <x:c r="J38" s="12" t="str">
        <x:f>IF(OR(H38="",I38="",H38=0),"",I38/H38)</x:f>
      </x:c>
      <x:c r="K38" s="10"/>
      <x:c r="L38" s="10"/>
      <x:c r="M38" s="14"/>
      <x:c r="N38" s="10"/>
    </x:row>
    <x:row r="39" ht="34" customHeight="1">
      <x:c r="A39" s="8" t="str">
        <x:v>EVAL-07-4</x:v>
      </x:c>
      <x:c r="B39" s="8" t="str">
        <x:v>EVAL-07</x:v>
      </x:c>
      <x:c r="C39" s="10"/>
      <x:c r="D39" s="10"/>
      <x:c r="E39" s="10"/>
      <x:c r="F39" s="10"/>
      <x:c r="G39" s="10"/>
      <x:c r="H39" s="10"/>
      <x:c r="I39" s="10"/>
      <x:c r="J39" s="13" t="str">
        <x:f>IF(OR(H39="",I39="",H39=0),"",I39/H39)</x:f>
      </x:c>
      <x:c r="K39" s="10"/>
      <x:c r="L39" s="10"/>
      <x:c r="M39" s="14"/>
      <x:c r="N39" s="10"/>
    </x:row>
    <x:row r="40" ht="34" customHeight="1">
      <x:c r="A40" s="9" t="str">
        <x:v>EVAL-07-5</x:v>
      </x:c>
      <x:c r="B40" s="9" t="str">
        <x:v>EVAL-07</x:v>
      </x:c>
      <x:c r="C40" s="10"/>
      <x:c r="D40" s="10"/>
      <x:c r="E40" s="10"/>
      <x:c r="F40" s="10"/>
      <x:c r="G40" s="10"/>
      <x:c r="H40" s="10"/>
      <x:c r="I40" s="10"/>
      <x:c r="J40" s="12" t="str">
        <x:f>IF(OR(H40="",I40="",H40=0),"",I40/H40)</x:f>
      </x:c>
      <x:c r="K40" s="10"/>
      <x:c r="L40" s="10"/>
      <x:c r="M40" s="14"/>
      <x:c r="N40" s="10"/>
    </x:row>
    <x:row r="41" ht="34" customHeight="1">
      <x:c r="A41" s="8" t="str">
        <x:v>EVAL-08-1</x:v>
      </x:c>
      <x:c r="B41" s="8" t="str">
        <x:v>EVAL-08</x:v>
      </x:c>
      <x:c r="C41" s="10"/>
      <x:c r="D41" s="10"/>
      <x:c r="E41" s="10"/>
      <x:c r="F41" s="10"/>
      <x:c r="G41" s="10"/>
      <x:c r="H41" s="10"/>
      <x:c r="I41" s="10"/>
      <x:c r="J41" s="13" t="str">
        <x:f>IF(OR(H41="",I41="",H41=0),"",I41/H41)</x:f>
      </x:c>
      <x:c r="K41" s="10"/>
      <x:c r="L41" s="10"/>
      <x:c r="M41" s="14"/>
      <x:c r="N41" s="10"/>
    </x:row>
    <x:row r="42" ht="34" customHeight="1">
      <x:c r="A42" s="9" t="str">
        <x:v>EVAL-08-2</x:v>
      </x:c>
      <x:c r="B42" s="9" t="str">
        <x:v>EVAL-08</x:v>
      </x:c>
      <x:c r="C42" s="10"/>
      <x:c r="D42" s="10"/>
      <x:c r="E42" s="10"/>
      <x:c r="F42" s="10"/>
      <x:c r="G42" s="10"/>
      <x:c r="H42" s="10"/>
      <x:c r="I42" s="10"/>
      <x:c r="J42" s="12" t="str">
        <x:f>IF(OR(H42="",I42="",H42=0),"",I42/H42)</x:f>
      </x:c>
      <x:c r="K42" s="10"/>
      <x:c r="L42" s="10"/>
      <x:c r="M42" s="14"/>
      <x:c r="N42" s="10"/>
    </x:row>
    <x:row r="43" ht="34" customHeight="1">
      <x:c r="A43" s="8" t="str">
        <x:v>EVAL-08-3</x:v>
      </x:c>
      <x:c r="B43" s="8" t="str">
        <x:v>EVAL-08</x:v>
      </x:c>
      <x:c r="C43" s="10"/>
      <x:c r="D43" s="10"/>
      <x:c r="E43" s="10"/>
      <x:c r="F43" s="10"/>
      <x:c r="G43" s="10"/>
      <x:c r="H43" s="10"/>
      <x:c r="I43" s="10"/>
      <x:c r="J43" s="13" t="str">
        <x:f>IF(OR(H43="",I43="",H43=0),"",I43/H43)</x:f>
      </x:c>
      <x:c r="K43" s="10"/>
      <x:c r="L43" s="10"/>
      <x:c r="M43" s="14"/>
      <x:c r="N43" s="10"/>
    </x:row>
    <x:row r="44" ht="34" customHeight="1">
      <x:c r="A44" s="9" t="str">
        <x:v>EVAL-08-4</x:v>
      </x:c>
      <x:c r="B44" s="9" t="str">
        <x:v>EVAL-08</x:v>
      </x:c>
      <x:c r="C44" s="10"/>
      <x:c r="D44" s="10"/>
      <x:c r="E44" s="10"/>
      <x:c r="F44" s="10"/>
      <x:c r="G44" s="10"/>
      <x:c r="H44" s="10"/>
      <x:c r="I44" s="10"/>
      <x:c r="J44" s="12" t="str">
        <x:f>IF(OR(H44="",I44="",H44=0),"",I44/H44)</x:f>
      </x:c>
      <x:c r="K44" s="10"/>
      <x:c r="L44" s="10"/>
      <x:c r="M44" s="14"/>
      <x:c r="N44" s="10"/>
    </x:row>
    <x:row r="45" ht="34" customHeight="1">
      <x:c r="A45" s="8" t="str">
        <x:v>EVAL-08-5</x:v>
      </x:c>
      <x:c r="B45" s="8" t="str">
        <x:v>EVAL-08</x:v>
      </x:c>
      <x:c r="C45" s="10"/>
      <x:c r="D45" s="10"/>
      <x:c r="E45" s="10"/>
      <x:c r="F45" s="10"/>
      <x:c r="G45" s="10"/>
      <x:c r="H45" s="10"/>
      <x:c r="I45" s="10"/>
      <x:c r="J45" s="13" t="str">
        <x:f>IF(OR(H45="",I45="",H45=0),"",I45/H45)</x:f>
      </x:c>
      <x:c r="K45" s="10"/>
      <x:c r="L45" s="10"/>
      <x:c r="M45" s="14"/>
      <x:c r="N45" s="10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7c471a414a0946ef"/>
  </x:tableParts>
</x:worksheet>
</file>